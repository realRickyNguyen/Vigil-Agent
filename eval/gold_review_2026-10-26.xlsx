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icky\Downloads\"/>
    </mc:Choice>
  </mc:AlternateContent>
  <xr:revisionPtr revIDLastSave="0" documentId="8_{A4526EDD-8B21-4FB6-B5CF-B31153FFA382}" xr6:coauthVersionLast="47" xr6:coauthVersionMax="47" xr10:uidLastSave="{00000000-0000-0000-0000-000000000000}"/>
  <bookViews>
    <workbookView xWindow="-98" yWindow="-98" windowWidth="21795" windowHeight="13875" activeTab="3" xr2:uid="{00000000-000D-0000-FFFF-FFFF00000000}"/>
  </bookViews>
  <sheets>
    <sheet name="Read me" sheetId="1" r:id="rId1"/>
    <sheet name="Review" sheetId="2" r:id="rId2"/>
    <sheet name="Labels" sheetId="3" r:id="rId3"/>
    <sheet name="Tally" sheetId="4" r:id="rId4"/>
  </sheets>
  <definedNames>
    <definedName name="_xlnm._FilterDatabase" localSheetId="1" hidden="1">Review!$A$1:$R$87</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4" l="1"/>
  <c r="D9" i="4"/>
  <c r="C9" i="4"/>
  <c r="B9" i="4"/>
  <c r="D8" i="4"/>
  <c r="C8" i="4"/>
  <c r="B8" i="4"/>
  <c r="D7" i="4"/>
  <c r="C7" i="4"/>
  <c r="B7" i="4"/>
  <c r="D6" i="4"/>
  <c r="C6" i="4"/>
  <c r="B6" i="4"/>
  <c r="D5" i="4"/>
  <c r="D10" i="4" s="1"/>
  <c r="C5" i="4"/>
  <c r="C10" i="4" s="1"/>
  <c r="B5" i="4"/>
  <c r="B10" i="4" s="1"/>
  <c r="D4" i="4"/>
  <c r="C4" i="4"/>
  <c r="B4" i="4"/>
</calcChain>
</file>

<file path=xl/sharedStrings.xml><?xml version="1.0" encoding="utf-8"?>
<sst xmlns="http://schemas.openxmlformats.org/spreadsheetml/2006/main" count="1250" uniqueCount="601">
  <si>
    <t>Gold set review, 26 Oct 2026</t>
  </si>
  <si>
    <t>What to do, for each row on the Review sheet:</t>
  </si>
  <si>
    <t>1. Read the reaction, the AI label and its evidence, then the label text in columns M and N (the app's own search of today's label, the same version the AI used). If that is not enough, open the full label from the Labels sheet.</t>
  </si>
  <si>
    <t>2. In column O pick: agree, change, make ambiguous (two categories are defensible) or unsure.</t>
  </si>
  <si>
    <t>3. If you pick change, choose the right category in column P.</t>
  </si>
  <si>
    <t>4. Add a short note in column Q when you do not agree, and your initials in column R.</t>
  </si>
  <si>
    <t>5. Rows shaded orange were disputed earlier; the four marked 'Decide first' conflict with the rules as written.</t>
  </si>
  <si>
    <t>Judge from the label, not from what Vigil answered: Vigil's answers are deliberately not in this sheet. About one minute a row; two people can split it by drug.</t>
  </si>
  <si>
    <t>Categories (apply the first that matches, from eval/LABELLING_RULES.md):</t>
  </si>
  <si>
    <t>not_meaningful: the term describes the product, its use, the report or a circumstance, not a clinical reaction (dosing errors, drug ineffective, a bare drug interaction, exposure during pregnancy, social-circumstance terms).</t>
  </si>
  <si>
    <t>on_label: the label describes this reaction as something the drug may cause or worsen, by the same event, a synonym or a broader term that clearly contains it. A narrower label term does not cover a broader reaction ('thrombocytopenia' does not cover 'full blood count abnormal'). A warning that the drug can worsen the treated condition makes that condition on_label.</t>
  </si>
  <si>
    <t>likely_indication_or_disease: the condition the drug treats, a symptom, sign, measure or complication of it, an outcome the drug is given to prevent, or a closely related disease of the treated population. Being named in the indications does not make it on_label.</t>
  </si>
  <si>
    <t>possible_new_signal: none of the above. The label does not describe it and it is not the treated disease. A statistical flag only, not a claim that the drug causes it.</t>
  </si>
  <si>
    <t>ambiguous: two categories are defensible. Ambiguous rows are left out of accuracy figures.</t>
  </si>
  <si>
    <t>Legend: yellow cells are the only ones to fill in. Everything else is the AI's label or text from the label.</t>
  </si>
  <si>
    <t>Example of a filled row (not part of the review):</t>
  </si>
  <si>
    <t>Reaction</t>
  </si>
  <si>
    <t>AI label</t>
  </si>
  <si>
    <t>Your verdict</t>
  </si>
  <si>
    <t>Correct category</t>
  </si>
  <si>
    <t>Note</t>
  </si>
  <si>
    <t>Reviewer</t>
  </si>
  <si>
    <t>METABOLIC ACIDOSIS (metformin)</t>
  </si>
  <si>
    <t>on_label</t>
  </si>
  <si>
    <t>change</t>
  </si>
  <si>
    <t>possible_new_signal</t>
  </si>
  <si>
    <t>Label covers lactic acidosis only, a narrower term (rule 2).</t>
  </si>
  <si>
    <t>RN</t>
  </si>
  <si>
    <t>Reviewer name</t>
  </si>
  <si>
    <t>Date reviewed</t>
  </si>
  <si>
    <t>ID</t>
  </si>
  <si>
    <t>Set</t>
  </si>
  <si>
    <t>Line in file</t>
  </si>
  <si>
    <t>Drug</t>
  </si>
  <si>
    <t>Reports (a)</t>
  </si>
  <si>
    <t>PRR</t>
  </si>
  <si>
    <t>Earlier dispute</t>
  </si>
  <si>
    <t>AI's evidence</t>
  </si>
  <si>
    <t>Evidence quote found in today's label (automatic; headings and paraphrase can fail)</t>
  </si>
  <si>
    <t>Label search (code): where the name appears</t>
  </si>
  <si>
    <t>Label text where the name appears</t>
  </si>
  <si>
    <t>Other label sentences on the topic (what the agents are shown)</t>
  </si>
  <si>
    <t>YOUR VERDICT</t>
  </si>
  <si>
    <t>Correct category (if change)</t>
  </si>
  <si>
    <t>Reviewer initials</t>
  </si>
  <si>
    <t>G2-002</t>
  </si>
  <si>
    <t>gold_v2</t>
  </si>
  <si>
    <t>atorvastatin</t>
  </si>
  <si>
    <t>MYALGIA</t>
  </si>
  <si>
    <t>adverse_reactions: myalgia</t>
  </si>
  <si>
    <t>no quote to check</t>
  </si>
  <si>
    <t>Named in sections that can support coverage: adverse_reactions. Searched 11 sections: indications_and_usage, warnings_and_cautions, adverse_reactions, information_for_patients, spl_patient_package_insert, mechanism_of_action, pharmacodynamics, use_in_specific_populations, contraindications, drug_interactions, pharmacokinetics.</t>
  </si>
  <si>
    <t>[adverse_reactions] ...t common adverse reactions in patients treated with atorvastatin calcium tablets that led to treatment discontinuation and occurred at a rate greater than placebo were: myalgia (0.7%), diarrhea (0.5%), nausea (0.4%), alanine aminotransferase increase (0.4%), and hepatic enzyme increase (0.4%).</t>
  </si>
  <si>
    <t>[adverse_reactions] ...t common adverse reactions in patients treated with atorvastatin calcium tablets that led to treatment discontinuation and occurred at a rate greater than placebo were: myalgia (0.7%), diarrhea (0.5%), nausea (0.4%), alanine aminotransferase increase (0.4%), and hepatic enzyme increase (0.4%).
[adverse_reactions] ...epsia 4.3 5.9 3.2 6.0 3.3 4.7 Nausea 3.5 3.7 3.7 7.1 3.8 4.0 Musculoskeletal pain 3.6 5.2 3.2 5.1 2.3 3.8 Muscle Spasms 3.0 4.6 4.8 5.1 2.4 3.6 Myalgia 3.1 3.6 5.9 8.4 2.7 3.5 Insomnia 2.9 2.8 1.1 5.3 2.8 3.0 Pharyngolaryngeal pain 2.1 3.9 1.6 2.8 0.7 2.3 Other adverse reactions reported in pl...</t>
  </si>
  <si>
    <t>G2-003</t>
  </si>
  <si>
    <t>ACUTE KIDNEY INJURY</t>
  </si>
  <si>
    <t>Disputed by the outside review (judgement call; see eval/LABELLING_RULES.md).</t>
  </si>
  <si>
    <t>warnings: 'renal failure secondary to rhabdomyolysis' (as v1 RENAL FAILURE)</t>
  </si>
  <si>
    <t>yes</t>
  </si>
  <si>
    <t>Named in sections that can support coverage: warnings_and_cautions. Searched 11 sections: indications_and_usage, warnings_and_cautions, adverse_reactions, information_for_patients, spl_patient_package_insert, mechanism_of_action, pharmacodynamics, use_in_specific_populations, contraindications, drug_interactions, pharmacokinetics.</t>
  </si>
  <si>
    <t>[warnings_and_cautions] acute kidney injury secondary to myoglobinuria and rare fatalities have occurred as a result of rhabdomyolysis in patients treated with statins, including atorvastatin calcium tablets.</t>
  </si>
  <si>
    <t>[warnings_and_cautions] Acute kidney injury secondary to myoglobinuria and rare fatalities have occurred as a result of rhabdomyolysis in patients treated with statins, including atorvastatin calcium tablets.
[spl_patient_package_insert] ...ium tablets, tell your healthcare provider about all of your medical conditions, including if you: have unexplained muscle aches or weakness drink more than 2 glasses of alcohol daily have diabetes have thyroid problems have kidney problems had a stroke are pregnant or plan to become pregnant.
[spl_patient_package_insert] ...cts of atorvastatin calcium tablets? Atorvastatin calcium tablets may cause serious side effects including:​​​​​​​ Muscle pain, tenderness and weakness (myopathy).Muscle problems, including muscle breakdown, can be serious in some people and, rarely, cause kidney damage that can lead to death.</t>
  </si>
  <si>
    <t>G2-005</t>
  </si>
  <si>
    <t>RHABDOMYOLYSIS</t>
  </si>
  <si>
    <t>warnings 5.1 Myopathy and Rhabdomyolysis</t>
  </si>
  <si>
    <t>Named in sections that can support coverage: warnings_and_cautions, adverse_reactions, information_for_patients. Mentioned in the sections on pregnancy and breastfeeding (use_in_specific_populations), which can describe what exposure does to a foetus or an infant; check what they say. They never count on their own. Also named where it never counts as coverage: drug_interactions. Searched 11 sections: indications_and_usage, warnings_and_cautions, adverse_reactions, information_for_patients, spl_patient_package_insert, mechanism_of_action, pharmacodynamics, use_in_specific_populations, contraindications, drug_interactions, pharmacokinetics.</t>
  </si>
  <si>
    <t>[warnings_and_cautions] 5 warnings and precautions myopathy and rhabdomyolysis : risk factors include age 65 years or greater, uncontrolled hypothyroidism, renal impairment, concomitant use with certain other drugs, and higher atorvastatin calcium tablets dosage.
[adverse_reactions] 6 adverse reactions the following important adverse reactions are described below and elsewhere in the labeling: myopathy and rhabdomyolysis [see warnings and precautions ( 5.1 )] immune-mediated necrotizing myopathy [see warnings and precautions ( 5.2 )] hepatic dysfunction [see warnings and ...
[information_for_patients] myopathy and rhabdomyolysis advise patients that atorvastatin calcium tablets may cause myopathy and rhabdomyolysis.
[use_in_specific_populations] advanced age (≥65 years) is a risk factor for atorvastatin calcium tablets-associated myopathy and rhabdomyolysis.
[drug_interactions] 7 drug interactions see full prescribing information for details regarding concomitant use of atorvastatin calcium tablets with other drugs or grapefruit juice that increase the risk of myopathy and rhabdomyolysis ( 2.5 , 7.1 ).</t>
  </si>
  <si>
    <t>[warnings_and_cautions] 5 WARNINGS AND PRECAUTIONS Myopathy and Rhabdomyolysis : Risk factors include age 65 years or greater, uncontrolled hypothyroidism, renal impairment, concomitant use with certain other drugs, and higher atorvastatin calcium tablets dosage.
[warnings_and_cautions] Temporarily discontinue atorvastatin calcium tablets in patients experiencing an acute or serious condition at high risk of developing renal failure secondary to rhabdomyolysis.
[warnings_and_cautions] Inform patients of the risk of myopathy and rhabdomyolysis when starting or increasing atorvastatin calcium tablets dosage.</t>
  </si>
  <si>
    <t>G2-008</t>
  </si>
  <si>
    <t>BLOOD CREATINE PHOSPHOKINASE INCREASED</t>
  </si>
  <si>
    <t>warnings: 'elevated creatine kinase [CK]'</t>
  </si>
  <si>
    <t>Described in other words in sections that can support coverage: adverse_reactions. Searched 11 sections: indications_and_usage, warnings_and_cautions, adverse_reactions, information_for_patients, spl_patient_package_insert, mechanism_of_action, pharmacodynamics, use_in_specific_populations, contraindications, drug_interactions, pharmacokinetics.</t>
  </si>
  <si>
    <t>[adverse_reactions] ...asis Musculoskeletal System : musculoskeletal pain, muscle fatigue, neck pain, joint swelling Metabolic and Nutritional System : transaminases increase, liver function test abnormal, blood alkaline phosphatase increase, creatine phosphokinase increase, hyperglycemia Nervous System : nightmare;</t>
  </si>
  <si>
    <t>[warnings_and_cautions] 5.1 Myopathy and Rhabdomyolysis Atorvastatin calcium tablets may cause myopathy (muscle pain, tenderness, or weakness associated with elevated creatine kinase [CK]) and rhabdomyolysis.
[warnings_and_cautions] IMNM is characterized by proximal muscle weakness and elevated serum creatine kinase that persists despite discontinuation of statin treatment;
[adverse_reactions] ...asis Musculoskeletal System : musculoskeletal pain, muscle fatigue, neck pain, joint swelling Metabolic and Nutritional System : transaminases increase, liver function test abnormal, blood alkaline phosphatase increase, creatine phosphokinase increase, hyperglycemia Nervous System : nightmare;</t>
  </si>
  <si>
    <t>G2-010</t>
  </si>
  <si>
    <t>MUSCULAR WEAKNESS</t>
  </si>
  <si>
    <t>warnings: myopathy 'muscle pain, tenderness, or weakness'</t>
  </si>
  <si>
    <t>Not named in any section searched. The search looks for its name and a few set synonyms, so the label may still describe it in other words or by a broader term. It says nothing about whether it is the treated condition. Searched 11 sections: indications_and_usage, warnings_and_cautions, adverse_reactions, information_for_patients, spl_patient_package_insert, mechanism_of_action, pharmacodynamics, use_in_specific_populations, contraindications, drug_interactions, pharmacokinetics.</t>
  </si>
  <si>
    <t>(the name is not found in any section)</t>
  </si>
  <si>
    <t>[adverse_reactions] ...remity 5.9 8.5 3.7 9.3 3.1 6.0 Urinary tract infection 5.6 6.9 6.4 8.0 4.1 5.7 Dyspepsia 4.3 5.9 3.2 6.0 3.3 4.7 Nausea 3.5 3.7 3.7 7.1 3.8 4.0 Musculoskeletal pain 3.6 5.2 3.2 5.1 2.3 3.8 Muscle Spasms 3.0 4.6 4.8 5.1 2.4 3.6 Myalgia 3.1 3.6 5.9 8.4 2.7 3.5 Insomnia 2.9 2.8 1.1 5.3 2.8 3.0 Ph...
[adverse_reactions] Gastrointestinal Disorders: pancreatitis General Disorders: fatigue Hepatobiliary Disorders: fatal and non-fatal hepatic failure Immune System Disorders: anaphylaxis Injury: tendon rupture Musculoskeletal and Connective Tissue Disorders: rhabdomyolysis, myositis.
[spl_patient_package_insert] ...sore throat, runny nose diarrhea urinary tract infection nausea muscle spasms throat pain muscle and joint pain pain in extremity upset stomach musculoskeletal pain trouble sleeping Talk to your healthcare provider or pharmacist if you have side effects that bother you or that will not go away...</t>
  </si>
  <si>
    <t>G2-011</t>
  </si>
  <si>
    <t>BLOOD CHOLESTEROL INCREASED</t>
  </si>
  <si>
    <t>likely_indication_or_disease</t>
  </si>
  <si>
    <t>the treated condition (hyperlipidaemia)</t>
  </si>
  <si>
    <t>[adverse_reactions] ...asis Musculoskeletal System : musculoskeletal pain, muscle fatigue, neck pain, joint swelling Metabolic and Nutritional System : transaminases increase, liver function test abnormal, blood alkaline phosphatase increase, creatine phosphokinase increase, hyperglycemia Nervous System : nightmare;
[adverse_reactions] Urogenital System: white blood cells urine positive.
[spl_patient_package_insert] Your healthcare provider may do blood tests to check your cholesterol levels during your treatment with atorvastatin calcium tablets.</t>
  </si>
  <si>
    <t>G2-012</t>
  </si>
  <si>
    <t>RENAL FAILURE</t>
  </si>
  <si>
    <t>warnings: 'renal failure secondary to rhabdomyolysis'</t>
  </si>
  <si>
    <t>[warnings_and_cautions] temporarily discontinue atorvastatin calcium tablets in patients experiencing an acute or serious condition at high risk of developing renal failure secondary to rhabdomyolysis.</t>
  </si>
  <si>
    <t>[warnings_and_cautions] 5 WARNINGS AND PRECAUTIONS Myopathy and Rhabdomyolysis : Risk factors include age 65 years or greater, uncontrolled hypothyroidism, renal impairment, concomitant use with certain other drugs, and higher atorvastatin calcium tablets dosage.
[warnings_and_cautions] Temporarily discontinue atorvastatin calcium tablets in patients experiencing an acute or serious condition at high risk of developing renal failure secondary to rhabdomyolysis.
[warnings_and_cautions] Temporarily discontinue atorvastatin calcium tablets in patients experiencing an acute or serious condition at high risk of developing renal failure secondary to rhabdomyolysis (e.g., sepsis;</t>
  </si>
  <si>
    <t>G2-013</t>
  </si>
  <si>
    <t>MYOCARDIAL INFARCTION</t>
  </si>
  <si>
    <t>indications: 'To reduce the risk of: Myocardial infarction'</t>
  </si>
  <si>
    <t>Named in the indications (indications_and_usage), the treated condition. Searched 11 sections: indications_and_usage, warnings_and_cautions, adverse_reactions, information_for_patients, spl_patient_package_insert, mechanism_of_action, pharmacodynamics, use_in_specific_populations, contraindications, drug_interactions, pharmacokinetics.</t>
  </si>
  <si>
    <t>[indications_and_usage] 1 indications and usage atorvastatin calcium tablets are indicated: to reduce the risk of: myocardial infarction (mi), stroke, revascularization procedures, and angina in adults with multiple risk factors for coronary heart disease (chd) but without clinically evident chd mi and stroke in adul...</t>
  </si>
  <si>
    <t>[indications_and_usage] 1 INDICATIONS AND USAGE Atorvastatin calcium tablets are indicated: To reduce the risk of: Myocardial infarction (MI), stroke, revascularization procedures, and angina in adults with multiple risk factors for coronary heart disease (CHD) but without clinically evident CHD MI and stroke in adul...
[indications_and_usage] ...oteinemia Hypertriglyceridemia Atorvastatin calcium tablets are an HMG-CoA reductase inhibitor (statin) indicated ( 1 ): To reduce the risk of: Myocardial infarction (MI), stroke, revascularization procedures, and angina in adults with multiple risk factors for coronary heart disease (CHD) but...</t>
  </si>
  <si>
    <t>G2-015</t>
  </si>
  <si>
    <t>CORONARY ARTERY DISEASE</t>
  </si>
  <si>
    <t>indications: coronary heart disease population</t>
  </si>
  <si>
    <t>[warnings_and_cautions] Patients who consume substantial quantities of alcohol and/or have a history of liver disease may be at increased risk for hepatic injury​​​​​​​ [see Use in Specific Populations ( 8.7 )].
[indications_and_usage] ...d: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
[indications_and_usage] ...torvastatin calcium tablets are an HMG-CoA reductase inhibitor (statin) indicated ( 1 ): To reduce the risk of: Myocardial infarction (MI), stroke, revascularization procedures, and angina in adults with multiple risk factors for coronary heart disease (CHD) but without clinically evident CHD.</t>
  </si>
  <si>
    <t>G2-016</t>
  </si>
  <si>
    <t>MUSCLE SPASMS</t>
  </si>
  <si>
    <t>adverse_reactions: 'Muscle spasms'</t>
  </si>
  <si>
    <t>Named in sections that can support coverage: adverse_reactions, spl_patient_package_insert (side effects). Searched 11 sections: indications_and_usage, warnings_and_cautions, adverse_reactions, information_for_patients, spl_patient_package_insert, mechanism_of_action, pharmacodynamics, use_in_specific_populations, contraindications, drug_interactions, pharmacokinetics.</t>
  </si>
  <si>
    <t>[adverse_reactions] ...ction 5.6 6.9 6.4 8.0 4.1 5.7 dyspepsia 4.3 5.9 3.2 6.0 3.3 4.7 nausea 3.5 3.7 3.7 7.1 3.8 4.0 musculoskeletal pain 3.6 5.2 3.2 5.1 2.3 3.8 muscle spasms 3.0 4.6 4.8 5.1 2.4 3.6 myalgia 3.1 3.6 5.9 8.4 2.7 3.5 insomnia 2.9 2.8 1.1 5.3 2.8 3.0 pharyngolaryngeal pain 2.1 3.9 1.6 2.8 0.7 2.3 othe...
[spl_patient_package_insert / side effects] ...mon side effects of atorvastatin calcium tablets include: nasal congestion, sore throat, runny nose diarrhea urinary tract infection nausea muscle spasms throat pain muscle and joint pain pain in extremity upset stomach musculoskeletal pain trouble sleeping talk to your healthcare provider or ...</t>
  </si>
  <si>
    <t>[warnings_and_cautions] Instruct patients to promptly report unexplained muscle pain, tenderness, or weakness, particularly if accompanied by malaise or fever ( 2.5 , 5.1 , 7.1 , 8.5 , 8.6 ).
[adverse_reactions] ...on 5.6 6.9 6.4 8.0 4.1 5.7 Dyspepsia 4.3 5.9 3.2 6.0 3.3 4.7 Nausea 3.5 3.7 3.7 7.1 3.8 4.0 Musculoskeletal pain 3.6 5.2 3.2 5.1 2.3 3.8 Muscle Spasms 3.0 4.6 4.8 5.1 2.4 3.6 Myalgia 3.1 3.6 5.9 8.4 2.7 3.5 Insomnia 2.9 2.8 1.1 5.3 2.8 3.0 Pharyngolaryngeal pain 2.1 3.9 1.6 2.8 0.7 2.3 Other a...
[spl_patient_package_insert] ... side effects of atorvastatin calcium tablets include: nasal congestion, sore throat, runny nose diarrhea urinary tract infection nausea muscle spasms throat pain muscle and joint pain pain in extremity upset stomach musculoskeletal pain trouble sleeping Talk to your healthcare provider or pha...</t>
  </si>
  <si>
    <t>G2-017</t>
  </si>
  <si>
    <t>CHEST PAIN</t>
  </si>
  <si>
    <t>indications: reduce the risk of 'angina'; symptom of coronary heart disease</t>
  </si>
  <si>
    <t>Named only where it never counts as coverage: spl_patient_package_insert (not a side-effect part). Searched 11 sections: indications_and_usage, warnings_and_cautions, adverse_reactions, information_for_patients, spl_patient_package_insert, mechanism_of_action, pharmacodynamics, use_in_specific_populations, contraindications, drug_interactions, pharmacokinetics.</t>
  </si>
  <si>
    <t>[spl_patient_package_insert / not a side-effect part] atorvastatin calcium tablets are used: to reduce the risk of: heart attack, stroke, certain types of heart surgery and chest pain in adults who do not have heart disease but have other multiple risk factors for heart disease.</t>
  </si>
  <si>
    <t>[warnings_and_cautions] Instruct patients to promptly report unexplained muscle pain, tenderness, or weakness, particularly if accompanied by malaise or fever ( 2.5 , 5.1 , 7.1 , 8.5 , 8.6 ).
[spl_patient_package_insert] Atorvastatin calcium tablets are used: to reduce the risk of: heart attack, stroke, certain types of heart surgery and chest pain in adults who do not have heart disease but have other multiple risk factors for heart disease.
[spl_patient_package_insert] heart attack that does not cause death, stroke, certain types of heart surgery, hospitalization for congestive heart failure, and chest pain in adults with heart disease.</t>
  </si>
  <si>
    <t>G2-019</t>
  </si>
  <si>
    <t>ACUTE MYOCARDIAL INFARCTION</t>
  </si>
  <si>
    <t>indications: 'To reduce the risk of: Myocardial infarction (MI)'</t>
  </si>
  <si>
    <t>[warnings_and_cautions] Temporarily discontinue atorvastatin calcium tablets in patients experiencing an acute or serious condition at high risk of developing renal failure secondary to rhabdomyolysis.
[indications_and_usage] 1 INDICATIONS AND USAGE Atorvastatin calcium tablets are indicated: To reduce the risk of: Myocardial infarction (MI), stroke, revascularization procedures, and angina in adults with multiple risk factors for coronary heart disease (CHD) but without clinically evident CHD MI and stroke in adul...
[indications_and_usage] ...oteinemia Hypertriglyceridemia Atorvastatin calcium tablets are an HMG-CoA reductase inhibitor (statin) indicated ( 1 ): To reduce the risk of: Myocardial infarction (MI), stroke, revascularization procedures, and angina in adults with multiple risk factors for coronary heart disease (CHD) but...</t>
  </si>
  <si>
    <t>G2-020</t>
  </si>
  <si>
    <t>CORONARY ARTERY OCCLUSION</t>
  </si>
  <si>
    <t>coronary heart disease, the outcome the drug is given to prevent</t>
  </si>
  <si>
    <t>[indications_and_usage] ...d: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
[indications_and_usage] ...torvastatin calcium tablets are an HMG-CoA reductase inhibitor (statin) indicated ( 1 ): To reduce the risk of: Myocardial infarction (MI), stroke, revascularization procedures, and angina in adults with multiple risk factors for coronary heart disease (CHD) but without clinically evident CHD.</t>
  </si>
  <si>
    <t>G2-021</t>
  </si>
  <si>
    <t>isotretinoin</t>
  </si>
  <si>
    <t>INFLAMMATORY BOWEL DISEASE</t>
  </si>
  <si>
    <t>warnings: 'associated with inflammatory bowel disease (including regional ileitis)'</t>
  </si>
  <si>
    <t>Named in sections that can support coverage: warnings_and_cautions, adverse_reactions, information_for_patients, spl_medguide (side effects). Searched 13 sections: indications_and_usage, boxed_warning, warnings_and_cautions, adverse_reactions, information_for_patients, spl_medguide, mechanism_of_action, pharmacodynamics, pregnancy, use_in_specific_populations, contraindications, drug_interactions, pharmacokinetics.</t>
  </si>
  <si>
    <t>[warnings_and_cautions] ...scontinue and refer to specialized care (5.8) hepatotoxicity : monitor liver function tests prior to and during treatment (5.9, 5.14) inflammatory bowel disease : discontinue for abdominal pain, rectal bleeding, or severe diarrhea (5.10) musculoskeletal abnormalities : arthralgias, back pain, ...
[adverse_reactions] ...gs and precautions (5.7)] hearing impairment [see warnings and precautions (5.8)] hepatotoxicity [see warnings and precautions (5.9)] inflammatory bowel disease [see warnings and precautions (5.10)] musculoskeletal abnormalities [see warnings and precautions (5.11)] ocular abnormalities [see w...
[information_for_patients] inflammatory bowel disease advise patients that inflammatory bowel disease (including regional ileitis) have occurred with isotretinoin use including those without a prior history of ibd and if they experience ibd symptoms, to discontinue isotretinoin capsules immediately [see warnings and pre...
[spl_medguide / side effects] tell your health care provider right away if you get: yellowing of your skin or the whites of your eyes dark urine pain on the right side of your stomach area (abdomen) bleeding or bruising more easily than normal inflammation of your digestive tract (inflammatory bowel disease).</t>
  </si>
  <si>
    <t>[warnings_and_cautions] ...ntinue and refer to specialized care (5.8) Hepatotoxicity : Monitor liver function tests prior to and during treatment (5.9, 5.14) Inflammatory Bowel Disease : Discontinue for abdominal pain, rectal bleeding, or severe diarrhea (5.10) Musculoskeletal Abnormalities : Arthralgias, back pain, dec...
[warnings_and_cautions] 5.10 Inflammatory Bowel Disease Isotretinoin has been associated with inflammatory bowel disease (including regional ileitis) in patients without a prior history of intestinal disorders.
[adverse_reactions] ...and Precautions (5.7)] Hearing Impairment [see Warnings and Precautions (5.8)] Hepatotoxicity [see Warnings and Precautions (5.9)] Inflammatory Bowel Disease [see Warnings and Precautions (5.10)] Musculoskeletal Abnormalities [see Warnings and Precautions (5.11)] Ocular Abnormalities [see Warn...</t>
  </si>
  <si>
    <t>G2-023</t>
  </si>
  <si>
    <t>COLITIS ULCERATIVE</t>
  </si>
  <si>
    <t>warnings: inflammatory bowel disease; adverse_reactions: colitis</t>
  </si>
  <si>
    <t>Not named in any section searched. The search looks for its name and a few set synonyms, so the label may still describe it in other words or by a broader term. It says nothing about whether it is the treated condition. Searched 13 sections: indications_and_usage, boxed_warning, warnings_and_cautions, adverse_reactions, information_for_patients, spl_medguide, mechanism_of_action, pharmacodynamics, pregnancy, use_in_specific_populations, contraindications, drug_interactions, pharmacokinetics.</t>
  </si>
  <si>
    <t>[adverse_reactions] Gastrointestinal Abdominal pain, bleeding and inflammation of the gums, colitis, constipation, diarrhea, esophageal ulceration, esophagitis, ileitis, nausea, hepatitis, inflammatory bowel disease, other nonspecific gastrointestinal symptoms, pancreatitis, vomiting.</t>
  </si>
  <si>
    <t>G2-026</t>
  </si>
  <si>
    <t>IRRITABLE BOWEL SYNDROME</t>
  </si>
  <si>
    <t>searched 'irritable bowel': no hits</t>
  </si>
  <si>
    <t>[adverse_reactions] Body as a Whole Allergic reactions, dry mouth, edema, fatigue, irritability, lymphadenopathy, pain, systemic hypersensitivity, vasculitis, weight loss.
[adverse_reactions] Psychiatric Aggression, auditory hallucinations, anger, depression, emotional instability, insomnia, irritability, panic attack, psychosis, suicidal ideation, suicide, suicide attempts, violent behaviors.
[adverse_reactions] ...a, blurred vision, cataracts, color vision disorder, conjunctivitis, corneal opacities, decreased night vision which may persist, dry eyes, eye irritation, eye pruritus, eyelid inflammation, increased lacrimation, keratitis, ocular hyperemia, optic neuritis, photophobia, reduced visual acuity,...</t>
  </si>
  <si>
    <t>G2-027</t>
  </si>
  <si>
    <t>BLOOD TRIGLYCERIDES INCREASED</t>
  </si>
  <si>
    <t>warnings: Lipids, hypertriglyceridemia</t>
  </si>
  <si>
    <t>Described in other words in sections that can support coverage: spl_medguide (side effects). Also named where it never counts as coverage: spl_medguide (not a side-effect part). Searched 13 sections: indications_and_usage, boxed_warning, warnings_and_cautions, adverse_reactions, information_for_patients, spl_medguide, mechanism_of_action, pharmacodynamics, pregnancy, use_in_specific_populations, contraindications, drug_interactions, pharmacokinetics.</t>
  </si>
  <si>
    <t>[spl_medguide / side effects] Isotretinoin Capsules can raise blood fat levels (cholesterol and triglycerides).
[spl_medguide / not a side-effect part] ...ider if you or a family member has any of the following health conditions: mental health problems asthma liver problems diabetes heart disease increase blood fat levels (cholesterol and triglycerides) bone loss (osteoporosis), weak bones or any other bone problems an eating problem called anor...</t>
  </si>
  <si>
    <t>[adverse_reactions] Laboratory Abnormalities The following lab test values were increased: alkaline phosphatase, ALT, AST, bilirubin, cholesterol, CPK, fasting blood glucose, gamma-glutamyltransferase, LDH, LDL, platelet counts, sedimentation rate, triglycerides, and uric acid (hyperuricemia).
[spl_medguide] ...the following health conditions: mental health problems asthma liver problems diabetes heart disease increase blood fat levels (cholesterol and triglycerides) bone loss (osteoporosis), weak bones or any other bone problems an eating problem called anorexia nervosa (where people eat too little)...
[spl_medguide] Isotretinoin Capsules can raise blood fat levels (cholesterol and triglycerides).</t>
  </si>
  <si>
    <t>G2-028</t>
  </si>
  <si>
    <t>DEPRESSION</t>
  </si>
  <si>
    <t>warnings: 'may cause depression, psychosis'</t>
  </si>
  <si>
    <t>[warnings_and_cautions] 5 warnings and precautions psychiatric disorders (depression, psychosis, suicidal thoughts and behavior, and aggressive and/or violent behaviors): prior to and during treatment assess for these conditions; stop if these conditions occur on treatment (5.3) intracranial hypertension (pseudotumor...
[adverse_reactions] psychiatric aggression, auditory hallucinations, anger, depression, emotional instability, insomnia, irritability, panic attack, psychosis, suicidal ideation, suicide, suicide attempts, violent behaviors.
[information_for_patients] psychiatric disorders instruct patients and/or their caregivers/families that isotretinoin capsules may cause depression, psychosis, suicidal ideation, suicide attempts, and aggressive or violent behavior.
[spl_medguide / side effects] serious mental health problems, including: depression psychosis (seeing or hearing things that are not real) suicide .</t>
  </si>
  <si>
    <t>[warnings_and_cautions] 5 WARNINGS AND PRECAUTIONS Psychiatric Disorders (depression, psychosis, suicidal thoughts and behavior, and aggressive and/or violent behaviors): Prior to and during treatment assess for these conditions;
[warnings_and_cautions] 5.3 Psychiatric Disorders Isotretinoin Capsules may cause depression, psychosis and, rarely, suicidal ideation, suicide attempts, suicide, and aggressive and/or violent behaviors [see Adverse Reactions (6)] .
[warnings_and_cautions] ...o initiation of Isotretinoin Capsules treatment, ask patients and family members about any history of psychiatric disorder, and at each visit during treatment assess patients for symptoms of depression, mood disturbance, psychosis, or aggression to determine if further evaluation is necessary.</t>
  </si>
  <si>
    <t>G2-029</t>
  </si>
  <si>
    <t>MOOD ALTERED</t>
  </si>
  <si>
    <t>warnings: 'mood disturbance'</t>
  </si>
  <si>
    <t>[warnings_and_cautions] ...o initiation of Isotretinoin Capsules treatment, ask patients and family members about any history of psychiatric disorder, and at each visit during treatment assess patients for symptoms of depression, mood disturbance, psychosis, or aggression to determine if further evaluation is necessary.
[warnings_and_cautions] If a patient develops depression, mood disturbance, psychosis, or aggression, instruct patients (or caregivers) to immediately stop Isotretinoin Capsules and promptly contact their health care provider.</t>
  </si>
  <si>
    <t>G2-030</t>
  </si>
  <si>
    <t>EXPOSURE DURING PREGNANCY</t>
  </si>
  <si>
    <t>not_meaningful</t>
  </si>
  <si>
    <t>exposure circumstance</t>
  </si>
  <si>
    <t>Mentioned in the sections on pregnancy and breastfeeding (pregnancy, use_in_specific_populations), which can describe what exposure does to a foetus or an infant; check what they say. They never count on their own. Searched 13 sections: indications_and_usage, boxed_warning, warnings_and_cautions, adverse_reactions, information_for_patients, spl_medguide, mechanism_of_action, pharmacodynamics, pregnancy, use_in_specific_populations, contraindications, drug_interactions, pharmacokinetics.</t>
  </si>
  <si>
    <t>[pregnancy] there is an increased risk of major congenital malformations, spontaneous abortions, and premature births following isotretinoin exposure during pregnancy in humans [see warnings and precautions (5.1)].
[use_in_specific_populations] there is an increased risk of major congenital malformations, spontaneous abortions, and premature births following isotretinoin exposure during pregnancy in humans [see warnings and precautions (5.1)].</t>
  </si>
  <si>
    <t>[warnings_and_cautions] Major congenital malformations, spontaneous abortions, and premature births have been documented following exposure to isotretinoin during pregnancy [see Use in Specific Populations (8.1)].
[warnings_and_cautions] Immediately report any suspected fetal exposure during or 1 month after Isotretinoin Capsules treatment to the FDA via the MedWatch telephone number 1-800-FDA-1088, and also to the iPLEDGE pregnancy registry at 1-866-495-0654 or via the internet (www.ipledgeprogram.com).
[pregnancy] 8.1 Pregnancy Pregnancy Exposure Registry There is a pregnancy exposure registry that documents pregnancies in patients exposed to isotretinoin during pregnancy.</t>
  </si>
  <si>
    <t>G2-031</t>
  </si>
  <si>
    <t>DRY SKIN</t>
  </si>
  <si>
    <t>adverse_reactions: 'dry skin'</t>
  </si>
  <si>
    <t>Named in sections that can support coverage: adverse_reactions, spl_medguide (side effects). Searched 13 sections: indications_and_usage, boxed_warning, warnings_and_cautions, adverse_reactions, information_for_patients, spl_medguide, mechanism_of_action, pharmacodynamics, pregnancy, use_in_specific_populations, contraindications, drug_interactions, pharmacokinetics.</t>
  </si>
  <si>
    <t>[adverse_reactions] ... acne fulminans, alopecia (which in some cases persists), bruising, cheilitis (dry lips), contact dermatitis, dermatitis, dry mouth, dry nose, dry skin, epistaxis, erythema, eruptive xanthomas, erythema multiforme, flushing, hair abnormalities, hirsutism, hyperpigmentation and hypopigmentation...
[spl_medguide / side effects] the most common side effects of isotretinoin capsules include: dry lips headache dry skin upper respiratory tract infection (common cold) back pain chapped lips or swelling of the lips dry eyes skin reactions joint pain muscle problems nose bleeds eye problems, including decreased vision these...</t>
  </si>
  <si>
    <t>[adverse_reactions] ...g (delayed healing or exuberant granulation tissue with crusting), acne fulminans, alopecia (which in some cases persists), bruising, cheilitis (dry lips), contact dermatitis, dermatitis, dry mouth, dry nose, dry skin, epistaxis, erythema, eruptive xanthomas, erythema multiforme, flushing, hai...
[adverse_reactions] Most common adverse reactions are (incidence ≥ 5%): dry lips, dry skin, back pain, dry eye, arthralgia, epistaxis, headache, nasopharyngitis, chapped lips, dermatitis, increased creatine kinase, cheilitis, musculoskeletal discomfort, upper respiratory tract infection, reduced visual acuity.
[spl_medguide] The most common side effects of Isotretinoin Capsules include: dry lips headache dry skin upper respiratory tract infection (common cold) back pain chapped lips or swelling of the lips dry eyes skin reactions joint pain muscle problems nose bleeds eye problems, including decreased vision These...</t>
  </si>
  <si>
    <t>G2-032</t>
  </si>
  <si>
    <t>SUICIDAL IDEATION</t>
  </si>
  <si>
    <t>warnings: 'suicidal ideation'</t>
  </si>
  <si>
    <t>Named in sections that can support coverage: warnings_and_cautions, adverse_reactions, information_for_patients. Searched 13 sections: indications_and_usage, boxed_warning, warnings_and_cautions, adverse_reactions, information_for_patients, spl_medguide, mechanism_of_action, pharmacodynamics, pregnancy, use_in_specific_populations, contraindications, drug_interactions, pharmacokinetics.</t>
  </si>
  <si>
    <t>[warnings_and_cautions] 5.3 psychiatric disorders isotretinoin capsules may cause depression, psychosis and, rarely, suicidal ideation, suicide attempts, suicide, and aggressive and/or violent behaviors [see adverse reactions (6)] .
[adverse_reactions] psychiatric aggression, auditory hallucinations, anger, depression, emotional instability, insomnia, irritability, panic attack, psychosis, suicidal ideation, suicide, suicide attempts, violent behaviors.
[information_for_patients] psychiatric disorders instruct patients and/or their caregivers/families that isotretinoin capsules may cause depression, psychosis, suicidal ideation, suicide attempts, and aggressive or violent behavior.</t>
  </si>
  <si>
    <t>[warnings_and_cautions] 5.3 Psychiatric Disorders Isotretinoin Capsules may cause depression, psychosis and, rarely, suicidal ideation, suicide attempts, suicide, and aggressive and/or violent behaviors [see Adverse Reactions (6)] .
[adverse_reactions] Psychiatric Aggression, auditory hallucinations, anger, depression, emotional instability, insomnia, irritability, panic attack, psychosis, suicidal ideation, suicide, suicide attempts, violent behaviors.
[information_for_patients] Psychiatric Disorders Instruct patients and/or their caregivers/families that Isotretinoin Capsules may cause depression, psychosis, suicidal ideation, suicide attempts, and aggressive or violent behavior.</t>
  </si>
  <si>
    <t>G2-033</t>
  </si>
  <si>
    <t>CROHN^S DISEASE</t>
  </si>
  <si>
    <t>warnings: inflammatory bowel disease 'including regional ileitis'</t>
  </si>
  <si>
    <t>[warnings_and_cautions] ... and refer to specialized care (5.8) Hepatotoxicity : Monitor liver function tests prior to and during treatment (5.9, 5.14) Inflammatory Bowel Disease : Discontinue for abdominal pain, rectal bleeding, or severe diarrhea (5.10) Musculoskeletal Abnormalities : Arthralgias, back pain, decreases...
[warnings_and_cautions] 5.10 Inflammatory Bowel Disease Isotretinoin has been associated with inflammatory bowel disease (including regional ileitis) in patients without a prior history of intestinal disorders.
[adverse_reactions] ...ecautions (5.7)] Hearing Impairment [see Warnings and Precautions (5.8)] Hepatotoxicity [see Warnings and Precautions (5.9)] Inflammatory Bowel Disease [see Warnings and Precautions (5.10)] Musculoskeletal Abnormalities [see Warnings and Precautions (5.11)] Ocular Abnormalities [see Warnings a...</t>
  </si>
  <si>
    <t>G2-034</t>
  </si>
  <si>
    <t>DRUG EXPOSURE DURING PREGNANCY</t>
  </si>
  <si>
    <t>G2-035</t>
  </si>
  <si>
    <t>TREATMENT NONCOMPLIANCE</t>
  </si>
  <si>
    <t>use/compliance term</t>
  </si>
  <si>
    <t>[warnings_and_cautions] 5 WARNINGS AND PRECAUTIONS Psychiatric Disorders (depression, psychosis, suicidal thoughts and behavior, and aggressive and/or violent behaviors): Prior to and during treatment assess for these conditions;
[warnings_and_cautions] stop if these conditions occur on treatment (5.3) Intracranial Hypertension (Pseudotumor Cerebri) : Avoid concomitant use with tetracyclines (5.4, 7.2) Serious Skin Reactions : Monitor for Stevens-Johnson syndrome (SJS), toxic epidermal necrolysis (TEN), and other serious skin reactions and di...
[warnings_and_cautions] ...ed (5.7) Hearing Impairment : Discontinue and refer to specialized care (5.8) Hepatotoxicity : Monitor liver function tests prior to and during treatment (5.9, 5.14) Inflammatory Bowel Disease : Discontinue for abdominal pain, rectal bleeding, or severe diarrhea (5.10) Musculoskeletal Abnormal...</t>
  </si>
  <si>
    <t>G2-036</t>
  </si>
  <si>
    <t>ADVERSE DRUG REACTION</t>
  </si>
  <si>
    <t>non-specific reporting term</t>
  </si>
  <si>
    <t>[warnings_and_cautions] 5.3 Psychiatric Disorders Isotretinoin Capsules may cause depression, psychosis and, rarely, suicidal ideation, suicide attempts, suicide, and aggressive and/or violent behaviors [see Adverse Reactions (6)] .
[warnings_and_cautions] Screen patients with these symptoms and, if present, immediately discontinue Isotretinoin Capsules and refer the patient to a neurologist for further diagnosis and care [see Adverse Reactions (6)] .
[adverse_reactions] Because some of these reactions were reported voluntarily from a population of uncertain size, it is not always possible to reliably estimate their frequency or establish a causal relationship to drug exposure.</t>
  </si>
  <si>
    <t>G2-038</t>
  </si>
  <si>
    <t>MOOD SWINGS</t>
  </si>
  <si>
    <t>warnings: assess for 'mood disturbance' (broader term)</t>
  </si>
  <si>
    <t>G2-039</t>
  </si>
  <si>
    <t>EPISTAXIS</t>
  </si>
  <si>
    <t>adverse_reactions (Respiratory): 'epistaxis'</t>
  </si>
  <si>
    <t>Named in sections that can support coverage: adverse_reactions. Searched 13 sections: indications_and_usage, boxed_warning, warnings_and_cautions, adverse_reactions, information_for_patients, spl_medguide, mechanism_of_action, pharmacodynamics, pregnancy, use_in_specific_populations, contraindications, drug_interactions, pharmacokinetics.</t>
  </si>
  <si>
    <t>[adverse_reactions] respiratory bronchospasm (with or without a history of asthma), epistaxis, nasal dryness, respiratory infection, voice alteration.</t>
  </si>
  <si>
    <t>[adverse_reactions] Respiratory Bronchospasm (with or without a history of asthma), epistaxis, nasal dryness, respiratory infection, voice alteration.
[adverse_reactions] ...minans, alopecia (which in some cases persists), bruising, cheilitis (dry lips), contact dermatitis, dermatitis, dry mouth, dry nose, dry skin, epistaxis, erythema, eruptive xanthomas, erythema multiforme, flushing, hair abnormalities, hirsutism, hyperpigmentation and hypopigmentation, nail dy...
[adverse_reactions] Most common adverse reactions are (incidence ≥ 5%): dry lips, dry skin, back pain, dry eye, arthralgia, epistaxis, headache, nasopharyngitis, chapped lips, dermatitis, increased creatine kinase, cheilitis, musculoskeletal discomfort, upper respiratory tract infection, reduced visual acuity.</t>
  </si>
  <si>
    <t>G2-040</t>
  </si>
  <si>
    <t>RECTAL HAEMORRHAGE</t>
  </si>
  <si>
    <t>warnings: 'rectal bleeding'</t>
  </si>
  <si>
    <t>[warnings_and_cautions] ...otoxicity : Monitor liver function tests prior to and during treatment (5.9, 5.14) Inflammatory Bowel Disease : Discontinue for abdominal pain, rectal bleeding, or severe diarrhea (5.10) Musculoskeletal Abnormalities : Arthralgias, back pain, decreases in bone mineral density and premature epi...
[warnings_and_cautions] In rare instances, fatal hemorrhagic pancreatitis has been reported.
[warnings_and_cautions] Discontinue Isotretinoin Capsules immediately if patients experience abdominal pain, rectal bleeding or severe diarrhea [see Adverse Reactions (6)].</t>
  </si>
  <si>
    <t>G2-041</t>
  </si>
  <si>
    <t>metformin</t>
  </si>
  <si>
    <t>LACTIC ACIDOSIS</t>
  </si>
  <si>
    <t>boxed_warning: 'WARNING: LACTIC ACIDOSIS'</t>
  </si>
  <si>
    <t>Named in sections that can support coverage: boxed_warning, warnings_and_cautions, adverse_reactions, spl_patient_package_insert (side effects). Mentioned in the sections on pregnancy and breastfeeding (use_in_specific_populations), which can describe what exposure does to a foetus or an infant; check what they say. They never count on their own. Also named where it never counts as coverage: spl_patient_package_insert (not a side-effect part), drug_interactions. Searched 10 sections: indications_and_usage, boxed_warning, warnings_and_cautions, adverse_reactions, spl_patient_package_insert, mechanism_of_action, use_in_specific_populations, contraindications, drug_interactions, pharmacokinetics.</t>
  </si>
  <si>
    <t>[boxed_warning] warning: lactic acidosis postmarketing cases of metformin-associated lactic acidosis have resulted in death, hypothermia, hypotension, and resistant bradyarrhythmias.
[warnings_and_cautions] 5 warnings and precautions n/a • lactic acidosis: see boxed warning.
[adverse_reactions] 6 adverse reactions the following adverse reactions are also discussed elsewhere in the labeling: • lactic acidosis [see boxed warning and warnings and precautions (5.1) ] • vitamin b 12 deficiency [see warnings and precautions (5.2) ] • hypoglycemia [see warnings and precautions (5.3) ] for m...
[spl_patient_package_insert / side effects] what is the most important information i should know about metformin hydrochloride extended-release tablets? serious side effects can happen in people taking metformin hydrochloride extended-release tablets, including: lactic acidosis.
[spl_patient_package_insert / not a side-effect part] who should not take metformin hydrochloride extended-release tablets? some conditions increase your chance of getting lactic acidosis, or cause other problems if you take either of these medicines.
[use_in_specific_populations] in general, dose selection for an elderly patient should be cautious, usually starting at the low end of the dosing range, reflecting the greater frequency of decreased hepatic, renal, or cardiac function, and of concomitant disease or other drug therapy and the higher risk of lactic acidosis.
[drug_interactions] concomitant use of these drugs with metformin hydrochloride extended-release tablets may increase the risk for lactic acidosis.</t>
  </si>
  <si>
    <t>[boxed_warning] WARNING: LACTIC ACIDOSIS Postmarketing cases of metformin-associated lactic acidosis have resulted in death, hypothermia, hypotension, and resistant bradyarrhythmias.
[boxed_warning] The onset of metformin­-associated lactic acidosis is often subtle, accompanied only by nonspecific symptoms such as malaise, myalgias, respiratory distress, somnolence, and abdominal pain.
[boxed_warning] Metformin­-associated lactic acidosis was characterized by elevated blood lactate levels (&gt;5 mmol/Liter), anion gap acidosis (without evidence of ketonuria or ketonemia), an increased lactate/pyruvate ratio;</t>
  </si>
  <si>
    <t>G2-042</t>
  </si>
  <si>
    <t>BLOOD GLUCOSE INCREASED</t>
  </si>
  <si>
    <t>measure of the treated condition (type 2 diabetes)</t>
  </si>
  <si>
    <t>Not named in any section searched. The search looks for its name and a few set synonyms, so the label may still describe it in other words or by a broader term. It says nothing about whether it is the treated condition. Searched 10 sections: indications_and_usage, boxed_warning, warnings_and_cautions, adverse_reactions, spl_patient_package_insert, mechanism_of_action, use_in_specific_populations, contraindications, drug_interactions, pharmacokinetics.</t>
  </si>
  <si>
    <t>[spl_patient_package_insert] Metformin hydrochloride extended-release tablets are used with diet and exercise to help control high blood sugar (hyperglycemia) in adults and children 10 years of age and older with type 2 diabetes.
[spl_patient_package_insert] Talk to your healthcare provider about how to prevent, recognize, and take care of low blood sugar (hypoglycemia), high blood sugar (hyperglycemia), and problems you have because of your diabetes.
[drug_interactions] Drugs Affecting Glycemic Control Clinical Impact: Certain drugs tend to produce hyperglycemia and may lead to loss of glycemic control.</t>
  </si>
  <si>
    <t>G2-044</t>
  </si>
  <si>
    <t>HYPOGLYCAEMIA</t>
  </si>
  <si>
    <t>warnings: 'Hypoglycemia with Concomitant Use with Insulin or Insulin Secretagogues'</t>
  </si>
  <si>
    <t>no</t>
  </si>
  <si>
    <t>Named in sections that can support coverage: warnings_and_cautions, adverse_reactions, spl_patient_package_insert (side effects). Also named where it never counts as coverage: spl_patient_package_insert (not a side-effect part), drug_interactions. Searched 10 sections: indications_and_usage, boxed_warning, warnings_and_cautions, adverse_reactions, spl_patient_package_insert, mechanism_of_action, use_in_specific_populations, contraindications, drug_interactions, pharmacokinetics.</t>
  </si>
  <si>
    <t>[warnings_and_cautions] ( 5.2 ) • hypoglycemia with concomitant use with insulin and insulin secretagogues: increased risk of hypoglycemia when used in combination with insulin and/or an insulin secretagogue.
[adverse_reactions] ... • lactic acidosis [see boxed warning and warnings and precautions (5.1) ] • vitamin b 12 deficiency [see warnings and precautions (5.2) ] • hypoglycemia [see warnings and precautions (5.3) ] for metformin hydrochloride extended-release tablets, the most common adverse reactions (&gt;5%) are diar...
[spl_patient_package_insert / side effects] metformin hydrochloride extended-release tablets rarely cause hypoglycemia (low blood sugar) by themselves.
[spl_patient_package_insert / not a side-effect part] • follow your healthcare provider's instructions for treating blood sugar that is too low (hypoglycemia).
[drug_interactions] insulin secretagogues or insulin clinical impact: coadministration of metformin hydrochloride extended-release tablets with an insulin secretagogue (e.g., sulfonylurea) or insulin may increase the risk of hypoglycemia.</t>
  </si>
  <si>
    <t>[warnings_and_cautions] ( 5.2 ) • Hypoglycemia with Concomitant Use with Insulin and Insulin Secretagogues: Increased risk of hypoglycemia when used in combination with insulin and/or an insulin secretagogue.
[warnings_and_cautions] 5.3 Hypoglycemia with Concomitant Use with Insulin and Insulin Secretagogues Insulin and insulin secretagogues (e.g., sulfonylurea) are known to cause hypoglycemia.
[warnings_and_cautions] Metformin hydrochloride extended-release tablets may increase the risk of hypoglycemia when combined with insulin and/or an insulin secretagogue.</t>
  </si>
  <si>
    <t>G2-045</t>
  </si>
  <si>
    <t>METABOLIC ACIDOSIS</t>
  </si>
  <si>
    <t>Decide first: evidence is lactic acidosis, a narrower term; rule 2 says a narrower term does not cover a broader one.</t>
  </si>
  <si>
    <t>lactic acidosis is a metabolic acidosis (boxed warning)</t>
  </si>
  <si>
    <t>Named only where it never counts as coverage: contraindications, drug_interactions, pharmacokinetics. Searched 10 sections: indications_and_usage, boxed_warning, warnings_and_cautions, adverse_reactions, spl_patient_package_insert, mechanism_of_action, use_in_specific_populations, contraindications, drug_interactions, pharmacokinetics.</t>
  </si>
  <si>
    <t>[contraindications] • acute or chronic metabolic acidosis, including diabetic ketoacidosis, with or without coma.
[drug_interactions] table 2: clinically significant drug interactions with metformin hydrochloride extended-release tablets carbonic anhydrase inhibitors clinical impact: carbonic anhydrase inhibitors frequently cause a decrease in serum bicarbonate and induce non-anion gap, hyperchloremic metabolic acidosis.
[pharmacokinetics] ] cimetidine 400 mg 850 mg metformin 1.4 1.61 carbonic anhydrase inhibitors may cause metabolic acidosis [see warnings and precautions (5.1) and drug interactions (7.1) .] topiramate 100 mg § 500 mg § metformin 1.25 § 1.17 * all metformin and coadministered drugs were given as single doses † a...</t>
  </si>
  <si>
    <t>[contraindications] • Acute or chronic metabolic acidosis, including diabetic ketoacidosis, with or without coma.
[contraindications] • Severe renal impairment (eGFR below 30 mL/min/1.73 m 2 ) ( 4 , 5.1 ) • Hypersensitivity to metformin ( 4 ) • Acute or chronic metabolic acidosis, including diabetic ketoacidosis, with or without coma.
[drug_interactions] Table 2: Clinically Significant Drug Interactions with Metformin Hydrochloride Extended-Release Tablets Carbonic Anhydrase Inhibitors Clinical Impact: Carbonic anhydrase inhibitors frequently cause a decrease in serum bicarbonate and induce non-anion gap, hyperchloremic metabolic acidosis.</t>
  </si>
  <si>
    <t>G2-046</t>
  </si>
  <si>
    <t>GLYCOSYLATED HAEMOGLOBIN INCREASED</t>
  </si>
  <si>
    <t>measure of the treated condition</t>
  </si>
  <si>
    <t>[spl_patient_package_insert] • Your healthcare provider will check your diabetes with regular blood tests, including your blood sugar levels and your hemoglobin A1C.</t>
  </si>
  <si>
    <t>G2-047</t>
  </si>
  <si>
    <t>DIABETIC KETOACIDOSIS</t>
  </si>
  <si>
    <t>complication of diabetes; label names it only as a contraindication</t>
  </si>
  <si>
    <t>Mentioned in the sections on pregnancy and breastfeeding (use_in_specific_populations), which can describe what exposure does to a foetus or an infant; check what they say. They never count on their own. Also named where it never counts as coverage: spl_patient_package_insert (not a side-effect part), contraindications. Searched 10 sections: indications_and_usage, boxed_warning, warnings_and_cautions, adverse_reactions, spl_patient_package_insert, mechanism_of_action, use_in_specific_populations, contraindications, drug_interactions, pharmacokinetics.</t>
  </si>
  <si>
    <t>[spl_patient_package_insert / not a side-effect part] • metformin hydrochloride extended-release tablets are not for people with diabetic ketoacidosis (increased ketones in your blood or urine).
[use_in_specific_populations] clinical considerations disease-associated maternal and/or embryo/fetal risk poorly-controlled diabetes mellitus in pregnancy increases the maternal risk for diabetic ketoacidosis, pre-eclampsia, spontaneous abortions, preterm delivery, stillbirth and delivery complications.
[contraindications] • acute or chronic metabolic acidosis, including diabetic ketoacidosis, with or without coma.</t>
  </si>
  <si>
    <t>[contraindications] • Acute or chronic metabolic acidosis, including diabetic ketoacidosis, with or without coma.
[contraindications] • Severe renal impairment (eGFR below 30 mL/min/1.73 m 2 ) ( 4 , 5.1 ) • Hypersensitivity to metformin ( 4 ) • Acute or chronic metabolic acidosis, including diabetic ketoacidosis, with or without coma.
[spl_patient_package_insert] • Metformin hydrochloride extended-release tablets are not for people with diabetic ketoacidosis (increased ketones in your blood or urine).</t>
  </si>
  <si>
    <t>G2-048</t>
  </si>
  <si>
    <t>DIABETES MELLITUS INADEQUATE CONTROL</t>
  </si>
  <si>
    <t>the treated condition</t>
  </si>
  <si>
    <t>[adverse_reactions] Metformin Hydrochloride Extended-Release Tablets In placebo-controlled trials, in adults with type 2 diabetes mellitus, 781 patients were administered metformin hydrochloride extended-release tablets.
[indications_and_usage] 1 INDICATIONS AND USAGE Metformin hydrochloride extended-release tablets are indicated as an adjunct to diet and exercise to improve glycemic control in adults and pediatric patients 10 years of age and older with type 2 diabetes mellitus.
[indications_and_usage] Metformin hydrochloride extended-release tablets are biguanide indicated as an adjunct to diet and exercise to improve glycemic control in adults and pediatric patients 10 years of age and older with type 2 diabetes mellitus.</t>
  </si>
  <si>
    <t>G2-049</t>
  </si>
  <si>
    <t>BLOOD GLUCOSE DECREASED</t>
  </si>
  <si>
    <t>hypoglycemia warning</t>
  </si>
  <si>
    <t>Named by a related term ("hypoglycemia") in sections that can support coverage: warnings_and_cautions, adverse_reactions, spl_patient_package_insert (side effects). Also named where it never counts as coverage: drug_interactions. Searched 10 sections: indications_and_usage, boxed_warning, warnings_and_cautions, adverse_reactions, spl_patient_package_insert, mechanism_of_action, use_in_specific_populations, contraindications, drug_interactions, pharmacokinetics.</t>
  </si>
  <si>
    <t>[warnings_and_cautions] ( 5.2 ) • hypoglycemia with concomitant use with insulin and insulin secretagogues: increased risk of hypoglycemia when used in combination with insulin and/or an insulin secretagogue.
[adverse_reactions] ... • lactic acidosis [see boxed warning and warnings and precautions (5.1) ] • vitamin b 12 deficiency [see warnings and precautions (5.2) ] • hypoglycemia [see warnings and precautions (5.3) ] for metformin hydrochloride extended-release tablets, the most common adverse reactions (&gt;5%) are diar...
[spl_patient_package_insert / side effects] metformin hydrochloride extended-release tablets rarely cause hypoglycemia (low blood sugar) by themselves.
[drug_interactions] Intervention: When such drugs are administered to a patient receiving metformin hydrochloride extended-release tablets, observe the patient closely for loss of blood glucose control.</t>
  </si>
  <si>
    <t>[spl_patient_package_insert] • Follow your healthcare provider’s instructions for treating blood sugar that is too low (hypoglycemia).
[spl_patient_package_insert] Metformin hydrochloride extended-release tablets rarely cause hypoglycemia (low blood sugar) by themselves.
[spl_patient_package_insert] However, hypoglycemia can happen if you do not eat enough, if you drink alcohol, or if you take other medicines to lower blood sugar.</t>
  </si>
  <si>
    <t>G2-052</t>
  </si>
  <si>
    <t>HYPERGLYCAEMIA</t>
  </si>
  <si>
    <t>Named only where it never counts as coverage: spl_patient_package_insert (not a side-effect part), drug_interactions. Searched 10 sections: indications_and_usage, boxed_warning, warnings_and_cautions, adverse_reactions, spl_patient_package_insert, mechanism_of_action, use_in_specific_populations, contraindications, drug_interactions, pharmacokinetics.</t>
  </si>
  <si>
    <t>[spl_patient_package_insert / not a side-effect part] metformin hydrochloride extended-release tablets are used with diet and exercise to help control high blood sugar (hyperglycemia) in adults and children 10 years of age and older with type 2 diabetes.
[drug_interactions] drugs affecting glycemic control clinical impact: certain drugs tend to produce hyperglycemia and may lead to loss of glycemic control.</t>
  </si>
  <si>
    <t>G2-053</t>
  </si>
  <si>
    <t>DIARRHOEA</t>
  </si>
  <si>
    <t>adverse_reactions: 'diarrhea'</t>
  </si>
  <si>
    <t>Named in sections that can support coverage: adverse_reactions, spl_patient_package_insert (side effects). Searched 10 sections: indications_and_usage, boxed_warning, warnings_and_cautions, adverse_reactions, spl_patient_package_insert, mechanism_of_action, use_in_specific_populations, contraindications, drug_interactions, pharmacokinetics.</t>
  </si>
  <si>
    <t>[adverse_reactions] ...iciency [see warnings and precautions (5.2) ] • hypoglycemia [see warnings and precautions (5.3) ] for metformin hydrochloride extended-release tablets, the most common adverse reactions (&gt;5%) are diarrhea, nausea/vomiting, flatulence, asthenia, indigestion, abdominal discomfort, and headache.
[spl_patient_package_insert / side effects] ... breathing • have unusual sleepiness or sleep longer than usual • have unexplained stomach or intestinal problems with nausea and vomiting, or diarrhea • feel cold, especially in your arms and legs • feel dizzy or lightheaded • have a slow or irregular heartbeat you have a higher chance of get...</t>
  </si>
  <si>
    <t>[adverse_reactions] ...iciency [see Warnings and Precautions (5.2) ] • Hypoglycemia [see Warnings and Precautions (5.3) ] For metformin hydrochloride extended-release tablets, the most common adverse reactions (&gt;5%) are diarrhea, nausea/vomiting, flatulence, asthenia, indigestion, abdominal discomfort, and headache.
[adverse_reactions] ...rring &gt;5% and More Common than Placebo in Adults with Type 2 Diabetes Mellitus Metformin Hydrochloride Extended-Release Tablets (n=781) Placebo (n=195) Diarrhea 10% 3% Nausea/Vomiting 7% 2% Diarrhea led to discontinuation of metformin hydrochloride extended-release tablets in 0.6% of patients.
[spl_patient_package_insert] ...e breathing • have unusual sleepiness or sleep longer than usual • have unexplained stomach or intestinal problems with nausea and vomiting, or diarrhea • feel cold, especially in your arms and legs • feel dizzy or lightheaded • have a slow or irregular heartbeat You have a higher chance of ge...</t>
  </si>
  <si>
    <t>G2-054</t>
  </si>
  <si>
    <t>DIABETES MELLITUS</t>
  </si>
  <si>
    <t>Named in the indications (indications_and_usage), the treated condition. Named in sections that can support coverage: adverse_reactions. Mentioned in the pharmacology (mechanism_of_action), which describes how the drug works; check whether it says the drug causes it. Mentioned in the sections on pregnancy and breastfeeding (use_in_specific_populations), which can describe what exposure does to a foetus or an infant; check what they say. They never count on their own. Also named where it never counts as coverage: pharmacokinetics. Searched 10 sections: indications_and_usage, boxed_warning, warnings_and_cautions, adverse_reactions, spl_patient_package_insert, mechanism_of_action, use_in_specific_populations, contraindications, drug_interactions, pharmacokinetics.</t>
  </si>
  <si>
    <t>[indications_and_usage] 1 indications and usage metformin hydrochloride extended-release tablets are indicated as an adjunct to diet and exercise to improve glycemic control in adults and pediatric patients 10 years of age and older with type 2 diabetes mellitus.
[adverse_reactions] metformin hydrochloride extended-release tablets in placebo-controlled trials, in adults with type 2 diabetes mellitus, 781 patients were administered metformin hydrochloride extended-release tablets.
[mechanism_of_action] 12.1 mechanism of action metformin is an antihyperglycemic agent which improves glucose tolerance in patients with type 2 diabetes mellitus, lowering both basal and postprandial plasma glucose.
[use_in_specific_populations] there are risks to the mother and fetus associated with poorly controlled diabetes mellitus in pregnancy [see clinical considerations ].
[pharmacokinetics] ...d 1.6 (±0.38) 2.64 (±0.82) 552 (±139) 850 mg three times daily for 19 doses e (9) 2.01 (±0.42) 1.79 (±0.94) 642 (±173) adults with type 2 diabetes mellitus: 850 mg single dose (23) 1.48 (±0.5) 3.32 (±1.08) 491 (±138) 850 mg three times daily for 19 doses e (9) 1.9 (±0.62) 2.01 (±1.22) 550 (±16...</t>
  </si>
  <si>
    <t>[adverse_reactions] Metformin Hydrochloride Extended-Release Tablets In placebo-controlled trials, in adults with type 2 diabetes mellitus, 781 patients were administered metformin hydrochloride extended-release tablets.
[adverse_reactions] ...m Clinical Trials of Metformin Hydrochloride Extended-Release Tablets Occurring &gt;5% and More Common than Placebo in Adults with Type 2 Diabetes Mellitus Metformin Hydrochloride Extended-Release Tablets (n=781) Placebo (n=195) Diarrhea 10% 3% Nausea/Vomiting 7% 2% Diarrhea led to discontinuatio...
[indications_and_usage] 1 INDICATIONS AND USAGE Metformin hydrochloride extended-release tablets are indicated as an adjunct to diet and exercise to improve glycemic control in adults and pediatric patients 10 years of age and older with type 2 diabetes mellitus.</t>
  </si>
  <si>
    <t>G2-055</t>
  </si>
  <si>
    <t>BLOOD GLUCOSE ABNORMAL</t>
  </si>
  <si>
    <t>[spl_patient_package_insert] When this happens, sugar (glucose) builds up in the blood.
[drug_interactions] Intervention: When such drugs are administered to a patient receiving metformin hydrochloride extended-release tablets, observe the patient closely for loss of blood glucose control.
[mechanism_of_action] 12.1 Mechanism of Action Metformin is an antihyperglycemic agent which improves glucose tolerance in patients with type 2 diabetes mellitus, lowering both basal and postprandial plasma glucose.</t>
  </si>
  <si>
    <t>G2-056</t>
  </si>
  <si>
    <t>BLOOD GLUCOSE FLUCTUATION</t>
  </si>
  <si>
    <t>G2-057</t>
  </si>
  <si>
    <t>DECREASED APPETITE</t>
  </si>
  <si>
    <t>searched 'appetite|anorexia': no hits</t>
  </si>
  <si>
    <t>(none)</t>
  </si>
  <si>
    <t>G2-058</t>
  </si>
  <si>
    <t>VOMITING</t>
  </si>
  <si>
    <t>adverse_reactions: 'nausea/vomiting'</t>
  </si>
  <si>
    <t>[adverse_reactions] ...iciency [see warnings and precautions (5.2) ] • hypoglycemia [see warnings and precautions (5.3) ] for metformin hydrochloride extended-release tablets, the most common adverse reactions (&gt;5%) are diarrhea, nausea/vomiting, flatulence, asthenia, indigestion, abdominal discomfort, and headache.
[spl_patient_package_insert / side effects] ... have trouble breathing • have unusual sleepiness or sleep longer than usual • have unexplained stomach or intestinal problems with nausea and vomiting, or diarrhea • feel cold, especially in your arms and legs • feel dizzy or lightheaded • have a slow or irregular heartbeat you have a higher ...</t>
  </si>
  <si>
    <t>[adverse_reactions] ...iciency [see Warnings and Precautions (5.2) ] • Hypoglycemia [see Warnings and Precautions (5.3) ] For metformin hydrochloride extended-release tablets, the most common adverse reactions (&gt;5%) are diarrhea, nausea/vomiting, flatulence, asthenia, indigestion, abdominal discomfort, and headache.
[adverse_reactions] ...rring &gt;5% and More Common than Placebo in Adults with Type 2 Diabetes Mellitus Metformin Hydrochloride Extended-Release Tablets (n=781) Placebo (n=195) Diarrhea 10% 3% Nausea/Vomiting 7% 2% Diarrhea led to discontinuation of metformin hydrochloride extended-release tablets in 0.6% of patients.
[spl_patient_package_insert] ...• have trouble breathing • have unusual sleepiness or sleep longer than usual • have unexplained stomach or intestinal problems with nausea and vomiting, or diarrhea • feel cold, especially in your arms and legs • feel dizzy or lightheaded • have a slow or irregular heartbeat You have a higher...</t>
  </si>
  <si>
    <t>G2-061</t>
  </si>
  <si>
    <t>montelukast</t>
  </si>
  <si>
    <t>ASTHMA</t>
  </si>
  <si>
    <t>indications_and_usage: 'Prophylaxis and chronic treatment of asthma'</t>
  </si>
  <si>
    <t>Named in the indications (indications_and_usage), the treated condition. Named in sections that can support coverage: boxed_warning, warnings_and_cautions, adverse_reactions, information_for_patients, spl_medguide (side effects). Mentioned in the pharmacology (mechanism_of_action, pharmacodynamics), which describes how the drug works; check whether it says the drug causes it. Mentioned in the sections on pregnancy and breastfeeding (pregnancy, use_in_specific_populations), which can describe what exposure does to a foetus or an infant; check what they say. They never count on their own. Also named where it never counts as coverage: indications_and_usage (Limitation of Use), spl_medguide (not a side-effect part), pharmacokinetics. Searched 13 sections: indications_and_usage, boxed_warning, warnings_and_cautions, adverse_reactions, information_for_patients, spl_medguide, mechanism_of_action, pharmacodynamics, pregnancy, use_in_specific_populations, contraindications, drug_interactions, pharmacokinetics.</t>
  </si>
  <si>
    <t>[indications_and_usage] 1 indications &amp; usage montelukast sodium tablets are a leukotriene receptor antagonist indicated for: prophylaxis and chronic treatment of asthma in patients 15 years of age and older ( 1.1 ).
[indications_and_usage / Limitation of Use] limitations of use: not indicated to treat an acute asthma attack ( 5.2 ).
[boxed_warning] in patients with asthma or exercise-induced bronchoconstriction, consider the benefits and risksbefore prescribing montelukast sodium tablets.
[warnings_and_cautions] 5 warnings and precautions do not prescribe montelukast sodium to treat an acute asthma attack ( 5.2 ).
[adverse_reactions] adults and adolescents 15 years of age and older with asthma montelukast sodium has been evaluated for safety in approximately 2950 adult and adolescent patients 15 years of age and older in clinical trials.
[information_for_patients] advise patients to take montelukast sodium daily as prescribed, even when they are asymptomatic, as well as during periods of worsening asthma, and to contact their physicians if their asthma is not well controlled.
[spl_medguide / side effects] rarely, this can happen in people with asthma who take montelukast sodium.
[spl_medguide / not a side-effect part] this may help to improve symptoms of asthma and inflammation of the lining of the nose (allergic rhinitis).
[mechanism_of_action] cyslts have been correlated with the pathophysiology of asthma and allergic rhinitis.
[pharmacodynamics] 12.2 pharmacodynamics montelukast causes inhibition of airway cysteinyl leukotriene receptors as demonstrated by the ability to inhibit bronchoconstriction due to inhaled ltd 4 in asthmatics.
[pregnancy] clinical considerations disease-associated maternal and/or embryo/fetal risk poorly or moderately controlled asthma in pregnancy increases the maternal risk of perinatal adverse outcomes such as preeclampsia and infant prematurity, low birth weight, and small for gestational age.
[use_in_specific_populations] clinical considerations disease-associated maternal and/or embryo/fetal risk poorly or moderately controlled asthma in pregnancy increases the maternal risk of perinatal adverse outcomes such as preeclampsia and infant prematurity, low birth weight, and small for gestational age.
[pharmacokinetics] the safety and effectiveness of montelukast sodium in patients with asthma were demonstrated in clinical trials in which the 10-mg film-coated tablet formulation was administered in the evening without regard to the time of food ingestion.</t>
  </si>
  <si>
    <t>[boxed_warning] In patients with asthma or exercise-induced bronchoconstriction, consider the benefits and risksbefore prescribing montelukast sodium tablets.
[warnings_and_cautions] 5 WARNINGS AND PRECAUTIONS Do not prescribe montelukast sodium to treat an acute asthma attack ( 5.2 ).
[warnings_and_cautions] In patients with asthma or exercise-induced bronchoconstriction, consider the benefits and risks before prescribing montelukast sodium.</t>
  </si>
  <si>
    <t>G2-062</t>
  </si>
  <si>
    <t>WHEEZING</t>
  </si>
  <si>
    <t>asthma symptom; not described as a drug effect</t>
  </si>
  <si>
    <t>G2-063</t>
  </si>
  <si>
    <t>OBSTRUCTIVE AIRWAYS DISORDER</t>
  </si>
  <si>
    <t>airway obstruction is the treated condition (asthma, bronchoconstriction)</t>
  </si>
  <si>
    <t>[warnings_and_cautions] Although montelukast sodium is effective in improving airway function in asthmatics with documented aspirin sensitivity, it has not been shown to truncate bronchoconstrictor response to aspirin and other non-steroidal anti-inflammatory drugs in aspirin-sensitive asthmatic patients [see Clinica...
[mechanism_of_action] The CysLT type-1 (CysLT 1 ) receptor is found in the human airway (including airway smooth muscle cells and airway macrophages) and on other pro-inflammatory cells (including eosinophils and certain myeloid stem cells).
[mechanism_of_action] In asthma, leukotriene-mediated effects include airway edema, smooth muscle contraction, and altered cellular activity associated with the inflammatory process.</t>
  </si>
  <si>
    <t>G2-064</t>
  </si>
  <si>
    <t>DYSPNOEA</t>
  </si>
  <si>
    <t>asthma symptom; searched 'dyspn|shortness of breath': no hits</t>
  </si>
  <si>
    <t>G2-066</t>
  </si>
  <si>
    <t>COUGH</t>
  </si>
  <si>
    <t>adverse_reactions: 'upper respiratory infection, fever, headache, pharyngitis, cough'</t>
  </si>
  <si>
    <t>[adverse_reactions] ...s (incidence ≥ 5% and greater than placebo listed in descending order of frequency): upper respiratory infection, fever, headache, pharyngitis, cough, abdominal pain, diarrhea, otitis media, influenza, rhinorrhea, sinusitis, otitis ( 6.1 ).to report suspected adverse reactions, contact macleod...
[spl_medguide / side effects] ...inuses (sinusitis) the most common side effects of montelukast sodium include: • upper respiratory infection • fever • headache • sore throat • cough • stomach pain • diarrhea • earache or ear infection • flu • runny nose • sinus infection these are not all the possible side effects of montelu...</t>
  </si>
  <si>
    <t>[adverse_reactions] ...s (incidence ≥ 5% and greater than placebo listed in descending order of frequency): upper respiratory infection, fever, headache, pharyngitis, cough, abdominal pain, diarrhea, otitis media, influenza, rhinorrhea, sinusitis, otitis ( 6.1 ).To report SUSPECTED ADVERSE REACTIONS, contact Macleod...
[adverse_reactions] listed in descending order of frequency) in controlled clinical trials were: upper respiratory infection, fever, headache, pharyngitis, cough, abdominal pain, diarrhea, otitis media, influenza, rhinorrhea, sinusitis, otitis.
[adverse_reactions] ...troenteritis, infectious 1.5 0.5 Nervous System/Psychiatric Headache 18.4 18.1 Dizziness 1.9 1.4 Respiratory System Disorders Influenza 4.2 3.9 Cough 2.7 2.4 Congestion, nasal 1.6 1.3 Skin/Skin Appendages Disorder Rash 1.6 1.2 Laboratory Adverse Reactions Number of patients tested (montelukast...</t>
  </si>
  <si>
    <t>G2-069</t>
  </si>
  <si>
    <t>PRODUCTIVE COUGH</t>
  </si>
  <si>
    <t>adverse_reactions lists 'cough' (broader term)</t>
  </si>
  <si>
    <t>[adverse_reactions] ...s (incidence ≥ 5% and greater than placebo listed in descending order of frequency): upper respiratory infection, fever, headache, pharyngitis, cough, abdominal pain, diarrhea, otitis media, influenza, rhinorrhea, sinusitis, otitis ( 6.1 ).To report SUSPECTED ADVERSE REACTIONS, contact Macleod...
[mechanism_of_action] 12.1 Mechanism of Action The cysteinyl leukotrienes (LTC 4 , LTD 4 , LTE 4 ) are products of arachidonic acid metabolism and are released from various cells, including mast cells and eosinophils.
[use_in_specific_populations] The effects of the drug on milk production are unknown.</t>
  </si>
  <si>
    <t>G2-070</t>
  </si>
  <si>
    <t>LOSS OF PERSONAL INDEPENDENCE IN DAILY ACTIVITIES</t>
  </si>
  <si>
    <t>MedDRA social-circumstance term</t>
  </si>
  <si>
    <t>[mechanism_of_action] In asthma, leukotriene-mediated effects include airway edema, smooth muscle contraction, and altered cellular activity associated with the inflammatory process.
[mechanism_of_action] Montelukast inhibits physiologic actions of LTD 4 at the CysLT 1 receptor without any agonist activity.
[pregnancy] All pregnancies have a background risk of birth defect, loss, or other adverse outcomes.</t>
  </si>
  <si>
    <t>G2-071</t>
  </si>
  <si>
    <t>SINUSITIS</t>
  </si>
  <si>
    <t>adverse_reactions: '... rhinorrhea, sinusitis, otitis'</t>
  </si>
  <si>
    <t>[adverse_reactions] ... frequency): upper respiratory infection, fever, headache, pharyngitis, cough, abdominal pain, diarrhea, otitis media, influenza, rhinorrhea, sinusitis, otitis ( 6.1 ).to report suspected adverse reactions, contact macleods pharma usa, inc., at 1-888-943-3210 or fda at 1-800-fda-1088 or www.fd...
[spl_medguide / side effects] ...feeling of pins and needles or numbness of arms or legs • a flu-like illness • rash • severe inflammation (pain and swelling) of the sinuses (sinusitis) the most common side effects of montelukast sodium include: • upper respiratory infection • fever • headache • sore throat • cough • stomach ...</t>
  </si>
  <si>
    <t>[adverse_reactions] ...of frequency): upper respiratory infection, fever, headache, pharyngitis, cough, abdominal pain, diarrhea, otitis media, influenza, rhinorrhea, sinusitis, otitis ( 6.1 ).To report SUSPECTED ADVERSE REACTIONS, contact Macleods Pharma USA, Inc., at 1-888-943-3210 or FDA at 1-800-FDA-1088 or www....
[adverse_reactions] listed in descending order of frequency) in controlled clinical trials were: upper respiratory infection, fever, headache, pharyngitis, cough, abdominal pain, diarrhea, otitis media, influenza, rhinorrhea, sinusitis, otitis.
[adverse_reactions] In these two studies, the following reactions were reported with montelukast sodium with a frequency ≥ 1% and at an incidence greater than placebo: sinusitis, upper respiratory infection, sinus headache, cough, epistaxis, and increased ALT.</t>
  </si>
  <si>
    <t>G2-072</t>
  </si>
  <si>
    <t>THERAPEUTIC PRODUCT EFFECT INCOMPLETE</t>
  </si>
  <si>
    <t>product/efficacy term</t>
  </si>
  <si>
    <t>[boxed_warning] Because of the risk of NP events, the benefits of montelukast sodium tablets may not outweigh the risks in somepatients, particularly when the symptoms of disease may be mild and adequately treated with alternative therapies.
[mechanism_of_action] 12.1 Mechanism of Action The cysteinyl leukotrienes (LTC 4 , LTD 4 , LTE 4 ) are products of arachidonic acid metabolism and are released from various cells, including mast cells and eosinophils.
[use_in_specific_populations] The effects of the drug on milk production are unknown.</t>
  </si>
  <si>
    <t>G2-074</t>
  </si>
  <si>
    <t>CHEST DISCOMFORT</t>
  </si>
  <si>
    <t>asthma symptom (chest tightness); searched 'chest': no hits</t>
  </si>
  <si>
    <t>G2-076</t>
  </si>
  <si>
    <t>UPPER RESPIRATORY TRACT INFECTION</t>
  </si>
  <si>
    <t>adverse_reactions: 'upper respiratory infection'</t>
  </si>
  <si>
    <t>[adverse_reactions] ...nings and Precautions ( 5.1 )] Most common adverse reactions (incidence ≥ 5% and greater than placebo listed in descending order of frequency): upper respiratory infection, fever, headache, pharyngitis, cough, abdominal pain, diarrhea, otitis media, influenza, rhinorrhea, sinusitis, otitis ( 6...
[adverse_reactions] listed in descending order of frequency) in controlled clinical trials were: upper respiratory infection, fever, headache, pharyngitis, cough, abdominal pain, diarrhea, otitis media, influenza, rhinorrhea, sinusitis, otitis.
[adverse_reactions] In placebo-controlled clinical trials, the following reaction was reported with montelukast sodium with a frequency ≥ 1% and at an incidence greater than placebo: upper respiratory infection, 1.9% of patients receiving montelukast sodium vs.</t>
  </si>
  <si>
    <t>G2-078</t>
  </si>
  <si>
    <t>NASAL CONGESTION</t>
  </si>
  <si>
    <t>symptom of allergic rhinitis, an indication</t>
  </si>
  <si>
    <t>[adverse_reactions] ...infectious 1.5 0.5 Nervous System/Psychiatric Headache 18.4 18.1 Dizziness 1.9 1.4 Respiratory System Disorders Influenza 4.2 3.9 Cough 2.7 2.4 Congestion, nasal 1.6 1.3 Skin/Skin Appendages Disorder Rash 1.6 1.2 Laboratory Adverse Reactions Number of patients tested (montelukast sodium and pl...
[mechanism_of_action] In allergic rhinitis, CysLTs are released from the nasal mucosa after allergen exposure during both early- and late-phase reactions and are associated with symptoms of allergic rhinitis.</t>
  </si>
  <si>
    <t>G2-079</t>
  </si>
  <si>
    <t>SEASONAL ALLERGY</t>
  </si>
  <si>
    <t>seasonal allergic rhinitis is an indication</t>
  </si>
  <si>
    <t>[adverse_reactions] Adults and Adolescents 15 Years of Age and Older with Seasonal Allergic Rhinitis Montelukast sodium has been evaluated for safety in 2199 adult and adolescent patients 15 years of age and older in clinical trials.
[adverse_reactions] Montelukast sodium administered once daily had a safety profile consistent with that observed in patients with seasonal allergic rhinitis and similar to that of placebo.
[indications_and_usage] Relief of symptoms of allergic rhinitis (AR): seasonal allergic rhinitis (SAR) in patients 15 years of age and older, and perennial allergic rhinitis (PAR) in patients 15 years of age and older.</t>
  </si>
  <si>
    <t>G2-081</t>
  </si>
  <si>
    <t>sertraline</t>
  </si>
  <si>
    <t>SEROTONIN SYNDROME</t>
  </si>
  <si>
    <t>warnings: 'Serotonin Syndrome'</t>
  </si>
  <si>
    <t>Named in sections that can support coverage: warnings_and_cautions, adverse_reactions, information_for_patients, spl_medguide (side effects). Mentioned in the sections on pregnancy and breastfeeding (pregnancy, use_in_specific_populations), which can describe what exposure does to a foetus or an infant; check what they say. They never count on their own. Also named where it never counts as coverage: contraindications, drug_interactions. Searched 13 sections: indications_and_usage, boxed_warning, warnings_and_cautions, adverse_reactions, information_for_patients, spl_medguide, mechanism_of_action, pharmacodynamics, pregnancy, use_in_specific_populations, contraindications, drug_interactions, pharmacokinetics.</t>
  </si>
  <si>
    <t>[warnings_and_cautions] 5 warnings and precautions serotonin syndrome: increased risk when co-administered with other serotonergic agents, but also when taken alone.
[adverse_reactions] ...imozide [see contraindications (4) , clinical pharmacology (12.2) ] suicidal thoughts and behaviors [see warnings and precautions (5.1) ] serotonin syndrome [see contraindications (4) , warnings and precautions (5.2) , drug interactions (7.1) ] increased risk of bleeding [see warnings and prec...
[information_for_patients] serotonin syndrome caution patients about the risk of serotonin syndrome, particularly with the concomitant use of sertraline hydrochloride with other serotonergic drugs including triptans, tricyclic antidepressants, opioids, lithium, tryptophan, buspirone, amphetamines, st.
[spl_medguide / side effects] serotonin syndrome.
[pregnancy] in some cases, the clinical picture was consistent with serotonin syndrome [see warnings and precautions (5.2) ] .
[use_in_specific_populations] in some cases, the clinical picture was consistent with serotonin syndrome [see warnings and precautions (5.2) ] .
[contraindications] ...ns sertraline hydrochloride tablets are contraindicated in patients: taking, or within 14 days of stopping, maois, (including the maois linezolid and intravenous methylene blue) because of an increased risk of serotonin syndrome [see warnings and precautions (5.2) , drug interactions (7.1) ] .
[drug_interactions] table 5: clinically-significant drug interactions with sertraline hydrochloride monoamine oxidase inhibitors (maois) clinical impact: the concomitant use of ssris including sertraline hydrochloride and maois increases the risk of serotonin syndrome.</t>
  </si>
  <si>
    <t>[warnings_and_cautions] 5 WARNINGS AND PRECAUTIONS Serotonin Syndrome: Increased risk when co-administered with other serotonergic agents, but also when taken alone.
[warnings_and_cautions] If it occurs, discontinue sertraline hydrochloride and serotonergic agents and initiate supportive treatment.
[warnings_and_cautions] 5.2 Serotonin Syndrome Serotonin-norepinephrine reuptake inhibitors (SNRIs) and selective serotonin reuptake inhibitors (SSRIs), including sertraline hydrochloride, can precipitate serotonin syndrome, a potentially life-threatening condition.</t>
  </si>
  <si>
    <t>G2-083</t>
  </si>
  <si>
    <t>boxed_warning: suicidal thinking and behavior</t>
  </si>
  <si>
    <t>[boxed_warning] WARNING: SUICIDAL THOUGHTS AND BEHAVIORS Antidepressants increased the risk of suicidal thoughts and behavior in pediatric and young adult patients in short-term studies.
[boxed_warning] Closely monitor all antidepressant-treated patients for clinical worsening, and for emergence of suicidal thoughts and behaviors [See Warnings and Precautions (5.1) ] .
[boxed_warning] WARNING: SUICIDAL THOUGHTS AND BEHAVIORS See full prescribing information for complete boxed warning.</t>
  </si>
  <si>
    <t>G2-084</t>
  </si>
  <si>
    <t>ANXIETY</t>
  </si>
  <si>
    <t>Decide first: the quoted warning is not in the sections the app read on 24 Oct (it may be in the Medication Guide, which the app now reads).</t>
  </si>
  <si>
    <t>warnings: 'anxiety, agitation, panic attacks, insomnia'</t>
  </si>
  <si>
    <t>Named in the indications (indications_and_usage), the treated condition. Named in sections that can support coverage: warnings_and_cautions, adverse_reactions, spl_medguide (side effects). Also named where it never counts as coverage: spl_medguide (not a side-effect part). Searched 13 sections: indications_and_usage, boxed_warning, warnings_and_cautions, adverse_reactions, information_for_patients, spl_medguide, mechanism_of_action, pharmacodynamics, pregnancy, use_in_specific_populations, contraindications, drug_interactions, pharmacokinetics.</t>
  </si>
  <si>
    <t>[indications_and_usage] ...s (14) ] : major depressive disorder (mdd) obsessive-compulsive disorder (ocd) panic disorder (pd) posttraumatic stress disorder (ptsd) social anxiety disorder (sad) premenstrual dysphoric disorder (pmdd) sertraline hydrochloride tablets are a selective serotonin reuptake inhibitor (ssri) indi...
[warnings_and_cautions] ...r abrupt discontinuation, include: nausea, sweating, dysphoric mood, irritability, agitation, dizziness, sensory disturbances (e.g., paresthesia, such as electric shock sensations), tremor, anxiety, confusion, headache, lethargy, emotional lability, insomnia, hypomania, tinnitus, and seizures.
[adverse_reactions] ...le 3 (most common adverse reactions in adults) yet were reported in at least 2% of pediatric patients and at a rate of at least twice the placebo rate include fever, hyperkinesia, urinary incontinence, aggression, epistaxis, purpura, arthralgia, decreased weight, muscle twitching, and anxiety.
[spl_medguide / side effects] ...sion ⚬ feeling agitated, restless, angry or irritable ⚬ an increase in activity or talking more than what is normal for you ⚬ acting on dangerous impulses ⚬ thoughts about suicide or dying ⚬ new or worse anxiety or panic attacks ⚬ trouble sleeping ⚬ other unusual changes in behavior or mood 2.
[spl_medguide / not a side-effect part] ...ide tablets? sertraline hydrochloride tablets are a prescription medicine used to treat: major depressive disorder (mdd) panic disorder social anxiety disorder obsessive compulsive disorder (ocd) posttraumatic stress disorder (ptsd) premenstrual dysphoric disorder (pmdd) it is important to tal...</t>
  </si>
  <si>
    <t>[warnings_and_cautions] ...r abrupt discontinuation, include: nausea, sweating, dysphoric mood, irritability, agitation, dizziness, sensory disturbances (e.g., paresthesia, such as electric shock sensations), tremor, anxiety, confusion, headache, lethargy, emotional lability, insomnia, hypomania, tinnitus, and seizures.
[adverse_reactions] ...le 3 (most common adverse reactions in adults) yet were reported in at least 2% of pediatric patients and at a rate of at least twice the placebo rate include fever, hyperkinesia, urinary incontinence, aggression, epistaxis, purpura, arthralgia, decreased weight, muscle twitching, and anxiety.
[indications_and_usage] ...es (14) ] : Major depressive disorder (MDD) Obsessive-compulsive disorder (OCD) Panic disorder (PD) Posttraumatic stress disorder (PTSD) Social anxiety disorder (SAD) Premenstrual dysphoric disorder (PMDD) Sertraline hydrochloride tablets are a selective serotonin reuptake inhibitor (SSRI) ind...</t>
  </si>
  <si>
    <t>G2-085</t>
  </si>
  <si>
    <t>INTENTIONAL SELF-INJURY</t>
  </si>
  <si>
    <t>Decide first: evidence is suicidal behaviour; self-injury without suicidal intent may not be covered.</t>
  </si>
  <si>
    <t>boxed_warning: suicidal behavior</t>
  </si>
  <si>
    <t>G2-087</t>
  </si>
  <si>
    <t>SUICIDE ATTEMPT</t>
  </si>
  <si>
    <t>boxed_warning: suicidality</t>
  </si>
  <si>
    <t>[boxed_warning] WARNING: SUICIDAL THOUGHTS AND BEHAVIORS Antidepressants increased the risk of suicidal thoughts and behavior in pediatric and young adult patients in short-term studies.
[boxed_warning] Closely monitor all antidepressant-treated patients for clinical worsening, and for emergence of suicidal thoughts and behaviors [See Warnings and Precautions (5.1) ] .
[spl_medguide] ... provider right away if you have any of the following symptoms, or call 911 if an emergency, especially if they are new, worse, or worry you: ⚬ attempts to commit suicide ⚬ acting aggressive or violent ⚬ new or worse depression ⚬ feeling agitated, restless, angry or irritable ⚬ an increase in ...</t>
  </si>
  <si>
    <t>G2-089</t>
  </si>
  <si>
    <t>TREMOR</t>
  </si>
  <si>
    <t>adverse_reactions: Tremor</t>
  </si>
  <si>
    <t>Named in sections that can support coverage: warnings_and_cautions, adverse_reactions, spl_medguide (side effects). Mentioned in the sections on pregnancy and breastfeeding (pregnancy, use_in_specific_populations), which can describe what exposure does to a foetus or an infant; check what they say. They never count on their own. Searched 13 sections: indications_and_usage, boxed_warning, warnings_and_cautions, adverse_reactions, information_for_patients, spl_medguide, mechanism_of_action, pharmacodynamics, pregnancy, use_in_specific_populations, contraindications, drug_interactions, pharmacokinetics.</t>
  </si>
  <si>
    <t>[warnings_and_cautions] ...m, and coma), autonomic instability (e.g., tachycardia, labile blood pressure, dizziness, diaphoresis, flushing, hyperthermia), neuromuscular symptoms (e.g., tremor, rigidity, myoclonus, hyperreflexia, incoordination), seizures, and gastrointestinal symptoms (e.g., nausea, vomiting, diarrhea).
[adverse_reactions] ...ctions (≥5% and twice placebo) in pooled placebo-controlled mdd, ocd, pd, ptsd, sad and pmdd clinical trials were nausea, diarrhea/loose stool, tremor, dyspepsia, decreased appetite, hyperhidrosis, ejaculation failure, and decreased libido ( 6.1 ) to report suspected adverse reactions, contact...
[spl_medguide / side effects] ...side effects in adults who take sertraline hydrochloride tablets include: nausea, loss of appetite, diarrhea, or indigestion increased sweating tremor or shaking agitation change in sleep habits including increased sleepiness or insomnia sexual problems including decreased libido and ejaculati...
[pregnancy] reported clinical findings have included respiratory distress, cyanosis, apnea, seizures, temperature instability, feeding difficulty, vomiting, hypoglycemia, hypotonia, hypertonia, hyperreflexia, tremor, jitteriness, irritability, and constant crying.
[use_in_specific_populations] reported clinical findings have included respiratory distress, cyanosis, apnea, seizures, temperature instability, feeding difficulty, vomiting, hypoglycemia, hypotonia, hypertonia, hyperreflexia, tremor, jitteriness, irritability, and constant crying.</t>
  </si>
  <si>
    <t>[warnings_and_cautions] ...m, and coma), autonomic instability (e.g., tachycardia, labile blood pressure, dizziness, diaphoresis, flushing, hyperthermia), neuromuscular symptoms (e.g., tremor, rigidity, myoclonus, hyperreflexia, incoordination), seizures, and gastrointestinal symptoms (e.g., nausea, vomiting, diarrhea).
[warnings_and_cautions] ...r abrupt discontinuation, include: nausea, sweating, dysphoric mood, irritability, agitation, dizziness, sensory disturbances (e.g., paresthesia, such as electric shock sensations), tremor, anxiety, confusion, headache, lethargy, emotional lability, insomnia, hypomania, tinnitus, and seizures.
[adverse_reactions] ...ctions (≥5% and twice placebo) in pooled placebo-controlled MDD, OCD, PD, PTSD, SAD and PMDD clinical trials were nausea, diarrhea/loose stool, tremor, dyspepsia, decreased appetite, hyperhidrosis, ejaculation failure, and decreased libido ( 6.1 ) To report SUSPECTED ADVERSE REACTIONS, contact...</t>
  </si>
  <si>
    <t>G2-090</t>
  </si>
  <si>
    <t>INSOMNIA</t>
  </si>
  <si>
    <t>adverse_reactions and warnings: insomnia</t>
  </si>
  <si>
    <t>Named in sections that can support coverage: warnings_and_cautions, adverse_reactions, spl_medguide (side effects). Searched 13 sections: indications_and_usage, boxed_warning, warnings_and_cautions, adverse_reactions, information_for_patients, spl_medguide, mechanism_of_action, pharmacodynamics, pregnancy, use_in_specific_populations, contraindications, drug_interactions, pharmacokinetics.</t>
  </si>
  <si>
    <t>[warnings_and_cautions] ...r abrupt discontinuation, include: nausea, sweating, dysphoric mood, irritability, agitation, dizziness, sensory disturbances (e.g., paresthesia, such as electric shock sensations), tremor, anxiety, confusion, headache, lethargy, emotional lability, insomnia, hypomania, tinnitus, and seizures.
[adverse_reactions] mdd: somnolence; ocd: insomnia, agitation; pd: constipation, agitation; ptsd: fatigue; pmdd: somnolence, dry mouth, dizziness, fatigue, and abdominal pain; sad: insomnia, dizziness, fatigue, dry mouth, malaise.
[spl_medguide / side effects] ... of appetite, diarrhea, or indigestion increased sweating tremor or shaking agitation change in sleep habits including increased sleepiness or insomnia sexual problems including decreased libido and ejaculation failure feeling tired or fatigued anxiety the most common side effects in children ...</t>
  </si>
  <si>
    <t>[warnings_and_cautions] ...r abrupt discontinuation, include: nausea, sweating, dysphoric mood, irritability, agitation, dizziness, sensory disturbances (e.g., paresthesia, such as electric shock sensations), tremor, anxiety, confusion, headache, lethargy, emotional lability, insomnia, hypomania, tinnitus, and seizures.
[adverse_reactions] OCD: insomnia, agitation;
[adverse_reactions] SAD: insomnia, dizziness, fatigue, dry mouth, malaise.</t>
  </si>
  <si>
    <t>G2-091</t>
  </si>
  <si>
    <t>COMPLETED SUICIDE</t>
  </si>
  <si>
    <t>[boxed_warning] WARNING: SUICIDAL THOUGHTS AND BEHAVIORS See full prescribing information for complete boxed warning.
[spl_medguide] See the end of this Medication Guide for a complete list of ingredients in sertraline tablets.
[use_in_specific_populations] A subset of patients who completed the randomized controlled trials in patients with MDD (sertraline hydrochloride n=99, placebo n=122) were continued into a 24-week, flexible-dose, open-label, extension study.</t>
  </si>
  <si>
    <t>G2-092</t>
  </si>
  <si>
    <t>AGITATION</t>
  </si>
  <si>
    <t>warnings: agitation</t>
  </si>
  <si>
    <t>[warnings_and_cautions] serotonin syndrome signs and symptoms may include mental status changes (e.g., agitation, hallucinations, delirium, and coma), autonomic instability (e.g., tachycardia, labile blood pressure, dizziness, diaphoresis, flushing, hyperthermia), neuromuscular symptoms (e.g., tremor, rigidity, myocl...
[adverse_reactions] mdd: somnolence; ocd: insomnia, agitation; pd: constipation, agitation; ptsd: fatigue; pmdd: somnolence, dry mouth, dizziness, fatigue, and abdominal pain; sad: insomnia, dizziness, fatigue, dry mouth, malaise.
[spl_medguide / side effects] this condition can be life-threatening and symptoms may include: agitation, hallucinations, coma, or other changes in mental status racing heartbeat, high or low blood pressure coordination problems or muscle twitching (overactive reflexes) nausea, vomiting, or diarrhea sweating or fever muscl...</t>
  </si>
  <si>
    <t>[warnings_and_cautions] Serotonin syndrome signs and symptoms may include mental status changes (e.g., agitation, hallucinations, delirium, and coma), autonomic instability (e.g., tachycardia, labile blood pressure, dizziness, diaphoresis, flushing, hyperthermia), neuromuscular symptoms (e.g., tremor, rigidity, myocl...
[warnings_and_cautions] ...ntinuation of serotonergic antidepressants, particularly after abrupt discontinuation, include: nausea, sweating, dysphoric mood, irritability, agitation, dizziness, sensory disturbances (e.g., paresthesia, such as electric shock sensations), tremor, anxiety, confusion, headache, lethargy, emo...
[adverse_reactions] OCD: insomnia, agitation;</t>
  </si>
  <si>
    <t>G2-093</t>
  </si>
  <si>
    <t>CONFUSIONAL STATE</t>
  </si>
  <si>
    <t>precautions: 'confusion'</t>
  </si>
  <si>
    <t>[adverse_reactions] ... convulsion, decreased alertness, hypoesthesia, lethargy, psychomotor hyperactivity, syncope psychiatric disorders - aggression, bruxism, confusional state, euphoric mood, hallucination renal and urinary disorders - hematuria reproductive system and breast disorders - galactorrhea, priapism, v...</t>
  </si>
  <si>
    <t>[warnings_and_cautions] ...r abrupt discontinuation, include: nausea, sweating, dysphoric mood, irritability, agitation, dizziness, sensory disturbances (e.g., paresthesia, such as electric shock sensations), tremor, anxiety, confusion, headache, lethargy, emotional lability, insomnia, hypomania, tinnitus, and seizures.
[warnings_and_cautions] Signs and symptoms of hyponatremia include headache, difficulty concentrating, memory impairment, confusion, weakness, and unsteadiness, which may lead to falls.
[adverse_reactions] ... coma, convulsion, decreased alertness, hypoesthesia, lethargy, psychomotor hyperactivity, syncope Psychiatric disorders - aggression, bruxism, confusional state, euphoric mood, hallucination Renal and urinary disorders - hematuria Reproductive system and breast disorders - galactorrhea, priap...</t>
  </si>
  <si>
    <t>G2-094</t>
  </si>
  <si>
    <t>SOMNOLENCE</t>
  </si>
  <si>
    <t>adverse_reactions: Somnolence</t>
  </si>
  <si>
    <t>[adverse_reactions] mdd: somnolence; ocd: insomnia, agitation; pd: constipation, agitation; ptsd: fatigue; pmdd: somnolence, dry mouth, dizziness, fatigue, and abdominal pain; sad: insomnia, dizziness, fatigue, dry mouth, malaise.</t>
  </si>
  <si>
    <t>[adverse_reactions] MDD: somnolence;
[adverse_reactions] PMDD: somnolence, dry mouth, dizziness, fatigue, and abdominal pain;
[adverse_reactions] ...nistration site conditions Fatigue 12% 8% Metabolism and nutrition disorders Decreased appetite 7% 2% Nervous system disorders Dizziness 12% 8% Somnolence 11% 6% Tremor 9% 2% Psychiatric Disorders Insomnia 20% 13% Agitation 8% 5% Libido Decreased 6% 2% Reproductive system and breast disorders ...</t>
  </si>
  <si>
    <t>G2-095</t>
  </si>
  <si>
    <t>SEXUAL DYSFUNCTION</t>
  </si>
  <si>
    <t>adverse_reactions: ejaculation failure, libido decreased</t>
  </si>
  <si>
    <t>[warnings_and_cautions] ( 5.10 ) sexual dysfunction: sertraline hydrochloride may cause symptoms of sexual dysfunction.
[adverse_reactions] ...s and precautions (5.6) ] angle-closure glaucoma [see warnings and precautions (5.7) ] hyponatremia [see warnings and precautions (5.8) ] sexual dysfunction [see warnings and precautions (5.11) ] most common adverse reactions (≥5% and twice placebo) in pooled placebo-controlled mdd, ocd, pd, p...
[information_for_patients] sexual dysfunction advise patients that use of sertraline hydrochloride may cause symptoms of sexual dysfunction in both male and female patients.</t>
  </si>
  <si>
    <t>[warnings_and_cautions] ( 5.10 ) Sexual Dysfunction: Sertraline hydrochloride may cause symptoms of sexual dysfunction.
[warnings_and_cautions] 5.11 Sexual Dysfunction Use of SSRIs, including sertraline hydrochloride, may cause symptoms of sexual dysfunction [see Adverse Reactions (6.1) ].
[adverse_reactions] ... and Precautions (5.6) ] Angle-closure glaucoma [See Warnings and Precautions (5.7) ] Hyponatremia [See Warnings and Precautions (5.8) ] Sexual Dysfunction [See Warnings and Precautions (5.11) ] Most common adverse reactions (≥5% and twice placebo) in pooled placebo-controlled MDD, OCD, PD, PT...</t>
  </si>
  <si>
    <t>G2-096</t>
  </si>
  <si>
    <t>PANIC ATTACK</t>
  </si>
  <si>
    <t>warnings: 'panic attacks'</t>
  </si>
  <si>
    <t>Named in sections that can support coverage: spl_medguide (side effects). Searched 13 sections: indications_and_usage, boxed_warning, warnings_and_cautions, adverse_reactions, information_for_patients, spl_medguide, mechanism_of_action, pharmacodynamics, pregnancy, use_in_specific_populations, contraindications, drug_interactions, pharmacokinetics.</t>
  </si>
  <si>
    <t>[spl_medguide / side effects] ...sion ⚬ feeling agitated, restless, angry or irritable ⚬ an increase in activity or talking more than what is normal for you ⚬ acting on dangerous impulses ⚬ thoughts about suicide or dying ⚬ new or worse anxiety or panic attacks ⚬ trouble sleeping ⚬ other unusual changes in behavior or mood 2.</t>
  </si>
  <si>
    <t>[warnings_and_cautions] 5.7 Angle-Closure Glaucoma The pupillary dilation that occurs following use of many antidepressant drugs including sertraline hydrochloride may trigger an angle closure attack in a patient with anatomically narrow angles who does not have a patent iridectomy.
[indications_and_usage] ...indicated for the treatment of the following [See Clinical Studies (14) ] : Major depressive disorder (MDD) Obsessive-compulsive disorder (OCD) Panic disorder (PD) Posttraumatic stress disorder (PTSD) Social anxiety disorder (SAD) Premenstrual dysphoric disorder (PMDD) Sertraline hydrochloride...
[spl_medguide] ...sion ⚬ feeling agitated, restless, angry or irritable ⚬ an increase in activity or talking more than what is normal for you ⚬ acting on dangerous impulses ⚬ thoughts about suicide or dying ⚬ new or worse anxiety or panic attacks ⚬ trouble sleeping ⚬ other unusual changes in behavior or mood 2.</t>
  </si>
  <si>
    <t>G2-097</t>
  </si>
  <si>
    <t>FALL</t>
  </si>
  <si>
    <t>precautions (hyponatremia): 'unsteadiness, which may lead to falls'</t>
  </si>
  <si>
    <t>Named in sections that can support coverage: warnings_and_cautions. Searched 13 sections: indications_and_usage, boxed_warning, warnings_and_cautions, adverse_reactions, information_for_patients, spl_medguide, mechanism_of_action, pharmacodynamics, pregnancy, use_in_specific_populations, contraindications, drug_interactions, pharmacokinetics.</t>
  </si>
  <si>
    <t>[warnings_and_cautions] signs and symptoms of hyponatremia include headache, difficulty concentrating, memory impairment, confusion, weakness, and unsteadiness, which may lead to falls.</t>
  </si>
  <si>
    <t>[warnings_and_cautions] Signs and symptoms of hyponatremia include headache, difficulty concentrating, memory impairment, confusion, weakness, and unsteadiness, which may lead to falls.</t>
  </si>
  <si>
    <t>ND-031</t>
  </si>
  <si>
    <t>gold_newdrugs_v1</t>
  </si>
  <si>
    <t>empagliflozin</t>
  </si>
  <si>
    <t>EUGLYCAEMIC DIABETIC KETOACIDOSIS</t>
  </si>
  <si>
    <t>warnings_and_cautions 5.1: "Blood glucose levels at presentation may be below those typically expected for diabetic ketoacidosis (e.g., less than 250 mg/dL)".</t>
  </si>
  <si>
    <t>Not named in any section searched. The search looks for its name and a few set synonyms, so the label may still describe it in other words or by a broader term. It says nothing about whether it is the treated condition. Searched 12 sections: indications_and_usage, warnings_and_cautions, adverse_reactions, information_for_patients, spl_medguide, mechanism_of_action, pharmacodynamics, pregnancy, use_in_specific_populations, contraindications, drug_interactions, pharmacokinetics.</t>
  </si>
  <si>
    <t>[warnings_and_cautions] 5 WARNINGS AND PRECAUTIONS Diabetic Ketoacidosis in Patients with Type 1 Diabetes Mellitus and Other Ketoacidosis: Consider ketone monitoring in patients with type 1 diabetes mellitus and consider ketone monitoring in others at risk for ketoacidosis, as indicated.
[warnings_and_cautions] ( 5.6 ) 5.1 Diabetic Ketoacidosis in Patients with Type 1 Diabetes Mellitus and Other Ketoacidosis In patients with type 1 diabetes mellitus, JARDIANCE significantly increases the risk of diabetic ketoacidosis, a life-threatening event, beyond the background rate.
[warnings_and_cautions] In placebo-controlled trials of patients with type 1 diabetes mellitus, the risk of ketoacidosis was markedly increased in patients who received sodium glucose co-transporter 2 (SGLT2) inhibitors compared to patients who received placebo and fatal ketoacidosis has occurred with JARDIANCE.</t>
  </si>
  <si>
    <t>ND-032</t>
  </si>
  <si>
    <t>KETOACIDOSIS</t>
  </si>
  <si>
    <t>adverse_reactions 6.2 postmarketing: "Metabolism and Nutrition Disorders: Ketoacidosis"; warnings_and_cautions 5.1.</t>
  </si>
  <si>
    <t>Named in the indications (indications_and_usage), the treated condition. Named in sections that can support coverage: warnings_and_cautions, adverse_reactions, information_for_patients, spl_medguide (side effects). Mentioned in the sections on pregnancy and breastfeeding (pregnancy, use_in_specific_populations), which can describe what exposure does to a foetus or an infant; check what they say. They never count on their own. Also named where it never counts as coverage: spl_medguide (not a side-effect part). Searched 12 sections: indications_and_usage, warnings_and_cautions, adverse_reactions, information_for_patients, spl_medguide, mechanism_of_action, pharmacodynamics, pregnancy, use_in_specific_populations, contraindications, drug_interactions, pharmacokinetics.</t>
  </si>
  <si>
    <t>[indications_and_usage] ( 1 ) it may increase the risk of diabetic ketoacidosis in these patients.
[warnings_and_cautions] 5 warnings and precautions diabetic ketoacidosis in patients with type 1 diabetes mellitus and other ketoacidosis: consider ketone monitoring in patients with type 1 diabetes mellitus and consider ketone monitoring in others at risk for ketoacidosis, as indicated.
[adverse_reactions] 6 adverse reactions the following important adverse reactions are described below and elsewhere in the labeling: diabetic ketoacidosis in patients with type 1 diabetes mellitus and other ketoacidosis [see warnings and precautions (5.1) ] volume depletion [see warnings and precautions (5.2) ] g...
[information_for_patients] diabetic ketoacidosis in patients with type 1 diabetes mellitus and other ketoacidosis in patients with type 1 diabetes mellitus, inform them that using jardiance can increase their risk of life-threatening diabetic ketoacidosis and that fatal ketoacidosis has occurred.
[spl_medguide / side effects] what is the most important information i should know about jardiance? jardiance can cause serious side effects, including: diabetic ketoacidosis (increased ketones in your blood or urine) in people with type 1 and other ketoacidosis.
[spl_medguide / not a side-effect part] it may increase their risk of diabetic ketoacidosis (increased ketones in blood or urine).
[pregnancy] clinical considerations disease-associated maternal and/or embryo/fetal risk poorly controlled diabetes in pregnancy increases the maternal risk for diabetic ketoacidosis, pre-eclampsia, spontaneous abortions, preterm delivery, and delivery complications.
[use_in_specific_populations] clinical considerations disease-associated maternal and/or embryo/fetal risk poorly controlled diabetes in pregnancy increases the maternal risk for diabetic ketoacidosis, pre-eclampsia, spontaneous abortions, preterm delivery, and delivery complications.</t>
  </si>
  <si>
    <t>[warnings_and_cautions] 5 WARNINGS AND PRECAUTIONS Diabetic Ketoacidosis in Patients with Type 1 Diabetes Mellitus and Other Ketoacidosis: Consider ketone monitoring in patients with type 1 diabetes mellitus and consider ketone monitoring in others at risk for ketoacidosis, as indicated.
[warnings_and_cautions] Assess for ketoacidosis regardless of presenting blood glucose levels and discontinue JARDIANCE if ketoacidosis is suspected.
[warnings_and_cautions] Monitor patients for resolution of ketoacidosis before restarting.</t>
  </si>
  <si>
    <t>ND-033</t>
  </si>
  <si>
    <t>FOURNIER^S GANGRENE</t>
  </si>
  <si>
    <t>warnings_and_cautions 5.3: "necrotizing fasciitis of the perineum (Fournier's gangrene, a rare life-threatening infection requiring urgent surgical intervention), have occurred".</t>
  </si>
  <si>
    <t>Named in sections that can support coverage: warnings_and_cautions, adverse_reactions, information_for_patients. Searched 12 sections: indications_and_usage, warnings_and_cautions, adverse_reactions, information_for_patients, spl_medguide, mechanism_of_action, pharmacodynamics, pregnancy, use_in_specific_populations, contraindications, drug_interactions, pharmacokinetics.</t>
  </si>
  <si>
    <t>[warnings_and_cautions] ( 5.2 ) genitourinary infections, including urosepsis, pyelonephritis, necrotizing fasciitis of the perineum (fournier's gangrene), and genital mycotic infections: monitor patients for signs and symptoms of genitourinary infections and treat promptly, if indicated.
[adverse_reactions] ...e warnings and precautions (5.2) ] genitourinary infections, including urosepsis, pyelonephritis, necrotizing fasciitis of the perineum (fournier's gangrene), and genital mycotic infections [see warnings and precautions (5.3) ] hypoglycemia [see warnings and precautions (5.4) ] hypersensitivit...
[information_for_patients] genitourinary infections, including urosepsis, pyelonephritis, necrotizing fasciitis of the perineum (fournier's gangrene), and genital mycotic infections counsel patients that genitourinary infections may occur when taking jardiance and may become serious.</t>
  </si>
  <si>
    <t>[warnings_and_cautions] ( 5.2 ) Genitourinary Infections, including Urosepsis, Pyelonephritis, Necrotizing Fasciitis of the Perineum (Fournier's Gangrene), and Genital Mycotic Infections: Monitor patients for signs and symptoms of genitourinary infections and treat promptly, if indicated.
[warnings_and_cautions] 5.3 Genitourinary Infections, including Urosepsis, Pyelonephritis, Necrotizing Fasciitis of the Perineum (Fournier's Gangrene), and Genital Mycotic Infections JARDIANCE increases urinary glucose excretion [see Clinical Pharmacology (12.2) ] and increases the risk of genitourinary infections in...
[warnings_and_cautions] Serious genitourinary infections, including urosepsis, pyelonephritis, and necrotizing fasciitis of the perineum (Fournier's gangrene, a rare life-threatening infection requiring urgent surgical intervention), have occurred in patients with and without diabetes mellitus receiving SGLT2 inhibit...</t>
  </si>
  <si>
    <t>ND-034</t>
  </si>
  <si>
    <t>NECROTISING FASCIITIS</t>
  </si>
  <si>
    <t>possible_new_signal (ambiguous)</t>
  </si>
  <si>
    <t>Label names only "Necrotizing fasciitis of the perineum (Fournier's gangrene)" (adverse_reactions 6.2, warnings_and_cautions 5.3). Narrower site-specific term; on_label defensible since most reports are likely perineal. Second blind labeller: on_label (warnings 5.3 necrotizing fasciitis of the perineum; same event named but only the perineal form, so possible_new_signal defensible)</t>
  </si>
  <si>
    <t>[warnings_and_cautions] ( 5.2 ) Genitourinary Infections, including Urosepsis, Pyelonephritis, Necrotizing Fasciitis of the Perineum (Fournier's Gangrene), and Genital Mycotic Infections: Monitor patients for signs and symptoms of genitourinary infections and treat promptly, if indicated.
[warnings_and_cautions] Immediately evaluate patients presenting with pain or tenderness, erythema, or swelling in the genital or perineal area, along with fever or malaise, for necrotizing fasciitis and if suspected, discontinue JARDIANCE, and promptly institute appropriate medical and/or surgical intervention.
[warnings_and_cautions] 5.3 Genitourinary Infections, including Urosepsis, Pyelonephritis, Necrotizing Fasciitis of the Perineum (Fournier's Gangrene), and Genital Mycotic Infections JARDIANCE increases urinary glucose excretion [see Clinical Pharmacology (12.2) ] and increases the risk of genitourinary infections in...</t>
  </si>
  <si>
    <t>ND-035</t>
  </si>
  <si>
    <t>TOE AMPUTATION</t>
  </si>
  <si>
    <t>warnings_and_cautions 5.5: "Amputation of the toe and mid-foot were most frequent (21 out of 28 JARDIANCE 10 mg treated patients with lower limb amputations)".</t>
  </si>
  <si>
    <t>[warnings_and_cautions] ( 5.4 ) Lower Limb Amputation: Monitor patients for infections or ulcers of lower limbs, and institute appropriate treatment ( 5.5 ) Hypersensitivity Reactions: Serious hypersensitivity reactions (e.g., angioedema) have occurred with JARDIANCE.
[warnings_and_cautions] 5.5 Lower Limb Amputation In some clinical studies with SGLT2 inhibitors an imbalance in the incidence of lower limb amputation has been observed.
[warnings_and_cautions] Amputation of the toe and mid-foot were most frequent (21 out of 28 JARDIANCE 10 mg treated patients with lower limb amputations), and some involving above and below the knee.</t>
  </si>
  <si>
    <t>ND-036</t>
  </si>
  <si>
    <t>LEG AMPUTATION</t>
  </si>
  <si>
    <t>warnings_and_cautions 5.5 lower limb amputation, "some involving above and below the knee".</t>
  </si>
  <si>
    <t>[warnings_and_cautions] ( 5.4 ) Lower Limb Amputation: Monitor patients for infections or ulcers of lower limbs, and institute appropriate treatment ( 5.5 ) Hypersensitivity Reactions: Serious hypersensitivity reactions (e.g., angioedema) have occurred with JARDIANCE.
[information_for_patients] Instruct patients to monitor for new pain or tenderness, sores or ulcers, or infections involving the leg or foot and to seek medical advice immediately if such signs or symptoms develop [see Warnings and Precautions (5.5) ] .
[spl_medguide] ...ay be at a higher risk of lower limb amputation if you: have a history of amputation have had blocked or narrowed blood vessels, usually in your leg have had diabetic foot infection, ulcers or sores Call your healthcare provider right away if you have new pain or tenderness, any sores, ulcers,...</t>
  </si>
  <si>
    <t>ND-037</t>
  </si>
  <si>
    <t>PANCREATITIS NECROTISING</t>
  </si>
  <si>
    <t>Searched pancrea|necroti: pancreatitis only as a ketoacidosis risk factor; necrotizing only for perineal fasciitis. Not the treated disease.</t>
  </si>
  <si>
    <t>[warnings_and_cautions] Type 2 diabetes mellitus and pancreatic disorders (e.g., history of pancreatitis or pancreatic surgery) are also risk factors for ketoacidosis.
[information_for_patients] For all other patients, inform them that JARDIANCE can cause potentially fatal ketoacidosis and that type 2 diabetes mellitus and pancreatic disorders (e.g., history of pancreatitis or pancreatic surgery) are risk factors.
[spl_medguide] People with type 2 diabetes or pancreas problems also have an increased risk of getting ketoacidosis.</t>
  </si>
  <si>
    <t>ND-038</t>
  </si>
  <si>
    <t>FOOT AMPUTATION</t>
  </si>
  <si>
    <t>warnings_and_cautions 5.5: "Amputation of the toe and mid-foot were most frequent"; spl_medguide: "SGLT2 inhibitors may increase your risk of lower limb amputations".</t>
  </si>
  <si>
    <t>[warnings_and_cautions] Amputation of the toe and mid-foot were most frequent (21 out of 28 JARDIANCE 10 mg treated patients with lower limb amputations), and some involving above and below the knee.
[warnings_and_cautions] Peripheral artery disease, and diabetic foot infection (including osteomyelitis), were the most common precipitating medical events leading to the need for an amputation.
[warnings_and_cautions] The risk of amputation was highest in patients with a baseline history of diabetic foot, peripheral artery disease (including previous amputation) or diabetes.</t>
  </si>
  <si>
    <t>ND-039</t>
  </si>
  <si>
    <t>AMPUTATION</t>
  </si>
  <si>
    <t>on_label (ambiguous)</t>
  </si>
  <si>
    <t>spl_medguide heading "Amputations. SGLT2 inhibitors may increase your risk of lower limb amputations"; warnings_and_cautions 5.5. Label text specifies lower limb, narrower than the reaction.</t>
  </si>
  <si>
    <t>Named in sections that can support coverage: warnings_and_cautions, adverse_reactions, information_for_patients, spl_medguide (side effects). Also named where it never counts as coverage: spl_medguide (not a side-effect part). Searched 12 sections: indications_and_usage, warnings_and_cautions, adverse_reactions, information_for_patients, spl_medguide, mechanism_of_action, pharmacodynamics, pregnancy, use_in_specific_populations, contraindications, drug_interactions, pharmacokinetics.</t>
  </si>
  <si>
    <t>[warnings_and_cautions] ( 5.4 ) lower limb amputation: monitor patients for infections or ulcers of lower limbs, and institute appropriate treatment ( 5.5 ) hypersensitivity reactions: serious hypersensitivity reactions (e.g., angioedema) have occurred with jardiance.
[adverse_reactions] ... a long-term cardio-renal outcome trial [see clinical studies 14.5 ] , in patients with chronic kidney disease, the occurrence of lower limb amputations was reported with event rates of 2.9, and 4.3 events per 1,000 patient-years in the placebo, and jardiance 10 mg treatment arms, respectively...
[information_for_patients] lower limb amputation counsel patients about the importance of routine preventative foot care.
[spl_medguide / side effects] signs and symptoms of low blood sugar may include: headache drowsiness weakness irritability hunger fast heartbeat confusion shaking or feeling jittery dizziness sweating amputations.
[spl_medguide / not a side-effect part] have a history of amputation.</t>
  </si>
  <si>
    <t>[warnings_and_cautions] ( 5.4 ) Lower Limb Amputation: Monitor patients for infections or ulcers of lower limbs, and institute appropriate treatment ( 5.5 ) Hypersensitivity Reactions: Serious hypersensitivity reactions (e.g., angioedema) have occurred with JARDIANCE.
[warnings_and_cautions] 5.5 Lower Limb Amputation In some clinical studies with SGLT2 inhibitors an imbalance in the incidence of lower limb amputation has been observed.
[warnings_and_cautions] Across four JARDIANCE outcome trials, lower limb amputation event rates were 4.3 and 5.0 events per 1,000 patient-years in the placebo group and the JARDIANCE 10 mg or 25 mg dose group, respectively, with a HR of 1.05 (95 % CI) (0.81, 1.36).</t>
  </si>
  <si>
    <t>ND-040</t>
  </si>
  <si>
    <t>OBSTRUCTIVE SLEEP APNOEA SYNDROME</t>
  </si>
  <si>
    <t>likely_indication_or_disease (ambiguous)</t>
  </si>
  <si>
    <t>Searched apnoea|apnea|sleep: no hits. Common comorbidity of the treated type 2 diabetes and heart failure population, not the treated disease itself, so possible_new_signal is defensible. Second blind labeller: possible_new_signal (no hits; not the treated disease, but common in the treated population, so likely_indication defensible)</t>
  </si>
  <si>
    <t>ND-193</t>
  </si>
  <si>
    <t>zuranolone</t>
  </si>
  <si>
    <t>PERINATAL DEPRESSION</t>
  </si>
  <si>
    <t>warnings_and_cautions highlights: "Consider changing the therapeutic regimen, including discontinuing ZURZUVAE, in patients whose PPD worsens". Exact indication term, so likely_indication_or_disease also defensible</t>
  </si>
  <si>
    <t>[boxed_warning] WARNING: IMPAIRED ABILITY TO DRIVE OR ENGAGE IN OTHER POTENTIALLY HAZARDOUS ACTIVITIES ZURZUVAE causes driving impairment due to central nervous system (CNS) depressant effects [see Warnings and Precautions ( 5.1 , 5.2 )] .
[pregnancy] Oral administration of zuranolone to rats during pregnancy and lactation resulted in developmental toxicity in the offspring, including, perinatal mortality, at maternal exposures similar to that in humans at the MRHD.
[pregnancy] Oral administration of zuranolone (0, 1, 4, or 10 mg/kg/day) to rats throughout pregnancy and into lactation resulted in increased perinatal mortality and persistent bodyweight reductions in the offspring at the mid and high doses, which also produced maternal mortality and adverse clinical signs.</t>
  </si>
  <si>
    <t>ND-194</t>
  </si>
  <si>
    <t>EXPOSURE VIA BREAST MILK</t>
  </si>
  <si>
    <t>Rule 1: exposure circumstance, like exposure during pregnancy; label notes "ZURZUVAE passes into breast milk" but this is not a reaction</t>
  </si>
  <si>
    <t>[spl_medguide] ZURZUVAE passes into breast milk, and it is not known if it can harm your baby.
[use_in_specific_populations] 8.2 Lactation Risk Summary Available data from a clinical lactation study in 14 women indicate that zuranolone is present in low levels in human milk (see Data ).
[use_in_specific_populations] There are no data on the effects of zuranolone on a breastfed infant and limited data on the effects on milk production.</t>
  </si>
  <si>
    <t>ND-195</t>
  </si>
  <si>
    <t>SOMNOLENCE NEONATAL</t>
  </si>
  <si>
    <t>Searched neonat|infant|newborn|breastfed; lactation 8.2: "There are no data on the effects of zuranolone on a breastfed infant". Somnolence is labelled for patients only; a reviewer could extend it</t>
  </si>
  <si>
    <t>[warnings_and_cautions] 5 WARNINGS AND PRECAUTIONS CNS Depressant Effects: ZURZUVAE can cause CNS depressant effects such as somnolence and confusion.
[warnings_and_cautions] 5.2 Central Nervous System Depressant Effects ZURZUVAE can cause CNS depressant effects such as somnolence and confusion.
[warnings_and_cautions] In Study 1, 36% of patients who received 50 mg of ZURZUVAE and 6% of patients who received placebo daily developed somnolence.</t>
  </si>
  <si>
    <t>ND-196</t>
  </si>
  <si>
    <t>BRIEF PSYCHOTIC DISORDER, WITH POSTPARTUM ONSET</t>
  </si>
  <si>
    <t>Searched psychos|psychotic|hallucin|paranoi; only paranoia after discontinuation in healthy subjects (dependence 9.3), narrower. Postpartum psychosis is closely related to PPD in the treated population; possible_new_signal also defensible</t>
  </si>
  <si>
    <t>[warnings_and_cautions] ...ch as alcohol, benzodiazepines, opioids, tricyclic antidepressants, or drugs that increase zuranolone concentration, may increase impairment of psychomotor performance or CNS depressant effects such as somnolence, cognitive impairment, and the risk of respiratory depression in ZURZUVAE-treated...
[pharmacodynamics] Psychomotor Performance with Alcohol or Alprazolam Co-administration of repeated 50 mg daily doses of ZURZUVAE with alcohol or alprazolam led to impairment in psychomotor performance [see Warnings and Precautions ( 5.2 ), and Drug Interactions ( 7 )].
[drug_interactions] Clinically Important Drug Interactions with ZURZUVAE CNS Depressant Drugs and Alcohol Clinical Impact Due to additive pharmacological effects, the concomitant use of CNS depressant drugs, including alcohol, may increase impairment of psychomotor performance or CNS depressant effects.</t>
  </si>
  <si>
    <t>ND-197</t>
  </si>
  <si>
    <t>LACTATION DISORDER</t>
  </si>
  <si>
    <t>Searched lactat|milk|breast; lactation 8.2: "limited data on the effects on milk production", not an effect statement. Typical of the postpartum treated population, so likely_indication_or_disease is defensible</t>
  </si>
  <si>
    <t>[warnings_and_cautions] In rodent studies following exposure during gestation or throughout gestation and lactation, adverse effects on development (fetal malformations, embryofetal and offspring mortality, growth deficits) were observed.
[pregnancy] Oral administration of zuranolone to rats during pregnancy and lactation resulted in developmental toxicity in the offspring, including, perinatal mortality, at maternal exposures similar to that in humans at the MRHD.
[pregnancy] Oral administration of zuranolone (0, 1, 4, or 10 mg/kg/day) to rats throughout pregnancy and into lactation resulted in increased perinatal mortality and persistent bodyweight reductions in the offspring at the mid and high doses, which also produced maternal mortality and adverse clinical signs.</t>
  </si>
  <si>
    <t>Label set ID</t>
  </si>
  <si>
    <t>Effective date</t>
  </si>
  <si>
    <t>Full label (DailyMed)</t>
  </si>
  <si>
    <t>Indications (start)</t>
  </si>
  <si>
    <t>Boxed warning (start)</t>
  </si>
  <si>
    <t>6600f22e-d303-4fe3-8212-accd6fb06e62</t>
  </si>
  <si>
    <t>20261015</t>
  </si>
  <si>
    <t>Open label</t>
  </si>
  <si>
    <t xml:space="preserve">1 INDICATIONS AND USAGE Atorvastatin calcium tablets are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 Atorvastatin calcium tablets are an HMG-CoA reductase inhibitor (statin) indicated ( 1 ):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(LDL-C) in: Adults with primary hyperlipidemia. Adults and pediatric patients aged 10 years and older with heterozygous familial hypercholesterolemia (HeFH). As an adjunct to other LDL-C-lowering therapies to reduce LDL-C in adults and </t>
  </si>
  <si>
    <t>(no boxed warning)</t>
  </si>
  <si>
    <t>59ed43d9-b4e0-72a2-e063-6394a90a327d</t>
  </si>
  <si>
    <t>20260826</t>
  </si>
  <si>
    <t xml:space="preserve">1 INDICATIONS AND USAGE JARDIANCE is indicated: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 to reduce the risk of cardiovascular death in adults with type 2 diabetes mellitus and established cardiovascular disease. as an adjunct to diet and exercise to improve glycemic control in adults and pediatric patients aged 10 years and older with type 2 diabetes mellitus. JARDIANCE is a sodium-glucose co-transporter 2 (SGLT2) inhibitor indicated: To reduce the risk of cardiovascular death and hospitalization for heart failure in adults with heart failure. ( 1 ) To reduce the risk of sustained decline in eGFR, end-stage kidney disease, cardiovascular death, and hospitalization in adults with chronic kidney disease at risk of progression. ( 1 ) To reduce the risk of cardiovascular death in adults with type 2 diabetes mellitus and established cardiovascular disease. ( 1 ) As an adjunct to diet and exercise to improve glycemic control in adults and pediatric patients aged 10 years and older with type 2 diabetes mellitus. ( 1 ) Limitations of Use: Not recommended for use to improve glycemic control in patients with type 1 diabetes mellitus. It may increase the risk of diabetic ketoacidosis in these patients. ( 1 ) Not recommended for use to improve glycemic control in patients with type 2 diabetes mellitus with an eGFR less than 30 mL/min/1.73 m 2 . ( 1 ) Not recommended for the treatment of chronic kidney disease in patients with polycystic kidney disease or patients requiring or with a recent history of intravenous immunosuppressive therapy or greater than 45 mg of prednisone or equivalent for kidney disease. JARDIANCE is not expected to be effective in these populations. ( 1 ) Limitations of Use JARDIANCE is not recommended for use to </t>
  </si>
  <si>
    <t>c2917c3d-3499-48a0-ba53-120cb979195d</t>
  </si>
  <si>
    <t>20260827</t>
  </si>
  <si>
    <t>1 INDICATIONS AND USAGE Isotretinoin Capsules is indicated for the treatment of severe recalcitrant nodular acne in non-pregnant patients 12 years of age and older with multiple inflammatory nodules with a diameter of 5 mm or greater. Because of significant adverse reactions associated with its use, Isotretinoin Capsules is reserved for patients with severe nodular acne who are unresponsive to conventional therapy, including systemic antibiotics. Limitations of Use : If a second course of Isotretinoin Capsules treatment is needed, it is not recommended before a two-month waiting period because the patient's acne may continue to improve following a 15 to 20-week course of treatment [see Dosage and Administration (2.2)]. Isotretinoin Capsules is a retinoid indicated for the treatment of severe recalcitrant nodular acne in non-pregnant patients 12 years of age and older with multiple inflammatory nodules with a diameter of 5 mm or greater. Because of significant adverse reactions associated with its use, Isotretinoin Capsules are reserved for patients with severe nodular acne who are unresponsive to conventional therapy, including systemic antibiotics. (1) Limitations of Use : If a second course of Isotretinoin Capsules treatment is needed, it is not recommended before a two-month waiting period because the patient's acne may continue to improve following a 15 to 20-week course of treatment. (1)</t>
  </si>
  <si>
    <t>WARNING: EMBRYO-FETAL TOXICITY - CONTRAINDICATED IN PREGNANCY Isotretinoin Capsules can cause life-threatening birth defects and is contraindicated in pregnancy . There is an extremely high risk that life-threatening birth defects will result if pregnancy occurs while taking any amount of Isotretinoin Capsules even for short periods of time. Potentially any fetus exposed during pregnancy can be affected. There are no accurate means of determining prenatally whether an exposed fetus has been affected . If pregnancy occurs, discontinue Isotretinoin Capsules immediately and refer the patient to an Obstetrician-Gynecologist experienced in reproductive toxicity for further evaluation and counseling [see Contraindications (4), Warnings and Precautions (5.1), and Use in Specific Populations (8.1)] . Because of the risk of embryo-fetal toxicity, Isotretinoin Capsules is available only through a restricted program under a Risk Evaluation and Mitigation Strategy (REMS) called the iPLEDGE REMS [see Warnings and Precautions (5.2)]. WARNING: EMBRYO-FETAL TOXICITY - CONTRAINDICATED IN PREGNANCY See full prescribing information for complete boxed warning. Isotretinoin Capsules can cause life-threatening birth defects and is contraindicated in pregnancy. There is an extremely high risk that life-threatening birth defects will result if pregnancy occurs while taking Isotretinoin Capsules in any amount, even for short periods of time. Potentially any fetus exposed during pregnancy can be affected. There are no accurate means of determining whether an exposed fetus has been affected. (4, 5.1, 8.1) Isotretinoin Capsules are available only through a restricted program called the iPLEDGE REMS. (5.2)</t>
  </si>
  <si>
    <t>05999192-ebc6-4198-bd1e-f46abbfb4f8a</t>
  </si>
  <si>
    <t>20260909</t>
  </si>
  <si>
    <t>1 INDICATIONS AND USAGE Metformin hydrochloride extended-release tablets are indicated as an adjunct to diet and exercise to improve glycemic control in adults and pediatric patients 10 years of age and older with type 2 diabetes mellitus. Metformin hydrochloride extended-release tablets are biguanide indicated as an adjunct to diet and exercise to improve glycemic control in adults and pediatric patients 10 years of age and older with type 2 diabetes mellitus. ( 1 )</t>
  </si>
  <si>
    <t xml:space="preserve">WARNING: LACTIC ACIDOSIS Postmarketing cases of metformin-associated lactic acidosis have resulted in death, hypothermia, hypotension, and resistant bradyarrhythmias. The onset of metformin­-associated lactic acidosis is often subtle, accompanied only by nonspecific symptoms such as malaise, myalgias, respiratory distress, somnolence, and abdominal pain. Metformin­-associated lactic acidosis was characterized by elevated blood lactate levels (&gt;5 mmol/Liter), anion gap acidosis (without evidence of ketonuria or ketonemia), an increased lactate/pyruvate ratio; and metformin plasma levels generally &gt;5 mcg/mL [see Warnings and Precautions (5.1) ]. Risk factors for metformin-associated lactic acidosis include renal impairment, concomitant use of certain drugs (e.g. carbonic anhydrase inhibitors such as topiramate), age 65 years old or greater, having a radiological study with contrast, surgery and other procedures, hypoxic states (e.g., acute congestive heart failure), excessive alcohol intake, and hepatic impairment. Steps to reduce the risk of and manage metformin-associated lactic acidosis in these high risk groups are provided [see Dosage and Administration (2) , Contraindications (4) , Warnings and Precautions (5.1) ]. If metformin-associated lactic acidosis is suspected, immediately discontinue metformin hydrochloride extended-release tablets and institute general supportive measures in a hospital setting. Prompt hemodialysis is recommended [see Warnings and Precautions (5.1) ]. WARNING: LACTIC ACIDOSIS See full prescribing information for complete boxed warning. • Postmarketing cases of metformin-associated lactic acidosis have resulted in death, hypothermia, hypotension, and resistant bradyarrhythmias. Symptoms included malaise, myalgias, respiratory distress, somnolence, and abdominal pain. Laboratory abnormalities included elevated blood lactate levels, anion gap acidosis, increased lactate/pyruvate ratio; and metformin plasma levels generally &gt;5 mcg/mL. ( 5.1 </t>
  </si>
  <si>
    <t>583a9499-97f0-2ebf-e063-6394a90a35af</t>
  </si>
  <si>
    <t>20260804</t>
  </si>
  <si>
    <t>1 INDICATIONS &amp; USAGE Montelukast sodium tablets are a leukotriene receptor antagonist indicated for: Prophylaxis and chronic treatment of asthma in patients 15 years of age and older ( 1.1 ). Acute prevention of exercise-induced bronchoconstriction (EIB) in patients 15 years of age and older ( 1.2 ). Relief of symptoms of allergic rhinitis (AR): seasonal allergic rhinitis (SAR) in patients 15 years of age and older, and perennial allergic rhinitis (PAR) in patients 15 years of age and older. Reserve use for patients who have an inadequate response or intolerance to alternative therapies ( 1.3 ). Limitations of Use: Not indicated to treat an acute asthma attack ( 5.2 ). 1.1 Asthma Montelukast sodium tablets are indicated for the prophylaxis and chronic treatment of asthma in adults and adolescent patients 15 years of age and older. 1.2 Exercise-Induced Bronchoconstriction (EIB) Montelukast sodium tablets are indicated for prevention of exercise-induced bronchoconstriction (EIB) in patients 15 years of age and older. 1.3 Allergic Rhinitis Montelukast sodium is indicated for the relief of symptoms of seasonal allergic rhinitis in patients 15 years of age and older and perennial allergic rhinitis in patients 15 years of age and older. Because the benefits of montelukast sodium tablets may not outweigh the risk of neuropsychiatric symptoms in patients with allergic rhinitis [see Warnings and Precautions (5.1)], reserve use for patients who have an inadequate response or intolerance to alternative therapies. 1.4 Limitations of Use Montelukast sodium is not indicated for the treatment of an acute asthma attack.</t>
  </si>
  <si>
    <t>WARNING: SERIOUS NEUROPSYCHIATRIC EVENTS WARNING: SERIOUS NEUROPSYCHIATRIC EVENTS Serious neuropsychiatric (NP) events have been reported with the use of montelukast sodium tablets. The typesof events reported were highly variable, and included, but were not limited to, agitation, aggression, depression, sleep disturbances, suicidal thoughts and behavior (including suicide). The mechanisms underlying NP events associated with montelukast sodium tablets use are currently not well understood [ see Warnings and Precautions ( 5.1 ) ]. Because of the risk of NP events, the benefits of montelukast sodium tablets may not outweigh the risks in somepatients, particularly when the symptoms of disease may be mild and adequately treated with alternative therapies. Reserve use of montelukast sodium tablets for patients with allergic rhinitis who have an inadequate response or intolerance to alternative therapies [ see Indications and Usage ( 1.3 )]. In patients with asthma or exercise-induced bronchoconstriction, consider the benefits and risksbefore prescribing montelukast sodium tablets. Discuss the benefits and risks of montelukast sodium tablets with patients and caregivers when prescribing montelukast sodium tablets. Advise patients and/or caregivers to be alert for changes in behavior or new NP symptoms when taking montelukast sodium tablets. If changes in behavior are observed, or if new NP symptomsor suicidal thoughts and/or behavior occur, advise patients to discontinue montelukast sodium tablets and contact a healthcare provider immediately [ see Warnings and Precautions ( 5.1 ) ].</t>
  </si>
  <si>
    <t>7d598f1a-6c76-458a-a155-7a6a0743a2d3</t>
  </si>
  <si>
    <t>20260903</t>
  </si>
  <si>
    <t>1 INDICATIONS AND USAGE Sertraline hydrochloride tablets are indicated for the treatment of the following [See Clinical Studies (14) ] : Major depressive disorder (MDD) Obsessive-compulsive disorder (OCD) Panic disorder (PD) Posttraumatic stress disorder (PTSD) Social anxiety disorder (SAD) Premenstrual dysphoric disorder (PMDD) Sertraline hydrochloride tablets are a selective serotonin reuptake inhibitor (SSRI) indicated for the treatment of ( 1 ): Major depressive disorder (MDD) Obsessive-compulsive disorder (OCD) Panic disorder (PD) Post-traumatic stress disorder (PTSD) Social anxiety disorder (SAD) Premenstrual dysphoric disorder (PMDD)</t>
  </si>
  <si>
    <t>WARNING: SUICIDAL THOUGHTS AND BEHAVIORS Antidepressants increased the risk of suicidal thoughts and behavior in pediatric and young adult patients in short-term studies. Closely monitor all antidepressant-treated patients for clinical worsening, and for emergence of suicidal thoughts and behaviors [See Warnings and Precautions (5.1) ] . WARNING: SUICIDAL THOUGHTS AND BEHAVIORS See full prescribing information for complete boxed warning. Antidepressants increased the risk of suicidal thoughts and behaviors in pediatric and young adult patients ( 5.1 ) Closely monitor for clinical worsening and emergence of suicidal thoughts and behaviors ( 5.1 )</t>
  </si>
  <si>
    <t>f18e53b0-d0bb-422d-8de7-ab64b7292b29</t>
  </si>
  <si>
    <t>20260615</t>
  </si>
  <si>
    <t>1 INDICATIONS AND USAGE ZURZUVAE is indicated for the treatment of postpartum depression (PPD) in adults. ZURZUVAE is a neuroactive steroid gamma-aminobutyric acid (GABA) A receptor positive modulator indicated for the treatment of postpartum depression (PPD) in adults. ( 1 )</t>
  </si>
  <si>
    <t>WARNING: IMPAIRED ABILITY TO DRIVE OR ENGAGE IN OTHER POTENTIALLY HAZARDOUS ACTIVITIES ZURZUVAE causes driving impairment due to central nervous system (CNS) depressant effects [see Warnings and Precautions ( 5.1 , 5.2 )] . Advise patients not to drive or engage in other potentially hazardous activities until at least 12 hours after ZURZUVAE administration for the duration of the 14-day treatment course. Inform patients that they may not be able to assess their own driving competence, or the degree of driving impairment caused by ZURZUVAE [see Warnings and Precautions ( 5.1 )] . WARNING: IMPAIRED ABILITY TO DRIVE OR ENGAGE IN OTHER POTENTIALLY HAZARDOUS ACTIVITIES See full prescribing information for complete boxed warning. ZURZUVAE causes driving impairment due to central nervous system (CNS) depressant effects. Advise patients not to drive or engage in other potentially hazardous activities until at least 12 hours after administration. Patients may not be able to assess their own driving competence or the degree of impairment caused by ZURZUVAE ( 5.1 , 5.2 ) .</t>
  </si>
  <si>
    <t>Source: openFDA drug label records registered in Zetaris by Vigil's Data Clerk on 26 Oct 2026; every row's label is the same version (set ID and date) its AI label was drafted from. DailyMed shows the newest version of that set ID, which may be newer.</t>
  </si>
  <si>
    <t>Tally (updates as you fill the Review sheet)</t>
  </si>
  <si>
    <t>All rows</t>
  </si>
  <si>
    <t>gold_v2 (71 clear rows)</t>
  </si>
  <si>
    <t>Hidden serious terms (15)</t>
  </si>
  <si>
    <t>Rows</t>
  </si>
  <si>
    <t>Reviewed</t>
  </si>
  <si>
    <t>agree</t>
  </si>
  <si>
    <t>make ambiguous</t>
  </si>
  <si>
    <t>unsure</t>
  </si>
  <si>
    <t>Agreement with the AI (agree / reviewed)</t>
  </si>
  <si>
    <t>'change' rows still missing a category</t>
  </si>
  <si>
    <t>Reviewed counts every non-empty verdict, unsure included. When the review is done, send the file back; the reviewed labels go into a new file (the original gold files stay as they are) and Bryan re-scores his runs against it.</t>
  </si>
  <si>
    <t>Ricky Nguyen</t>
  </si>
  <si>
    <t>Section 6.1 lists myalgia.</t>
  </si>
  <si>
    <t>Section 5.1 explicitly reports acute kidney injury following rhabdomyolysis. The original evidence can be replaced with this direct match.</t>
  </si>
  <si>
    <t>Sections 5.1 and 6.2 explicitly cover rhabdomyolysis.</t>
  </si>
  <si>
    <t>Section 6.1 lists creatine phosphokinase increase; section 5.1 also covers elevated CK.</t>
  </si>
  <si>
    <t>Section 5.1 includes muscle weakness in the myopathy warning.</t>
  </si>
  <si>
    <t>Section 1 treats elevated cholesterol; no adverse-effect match.</t>
  </si>
  <si>
    <t>Section 5.1 explicitly names renal failure secondary to rhabdomyolysis. This states the event and its mechanism, rather than inferring failure from kidney injury.</t>
  </si>
  <si>
    <t>Section 1 identifies myocardial infarction as a prevented outcome.</t>
  </si>
  <si>
    <t>Section 1 covers the coronary heart disease population.</t>
  </si>
  <si>
    <t>Section 6.1 explicitly lists muscle spasms.</t>
  </si>
  <si>
    <t>Patient information explicitly identifies chest pain as a prevented outcome; section 1 specifies angina.</t>
  </si>
  <si>
    <t>Section 1 covers myocardial infarction prevention, including acute infarction.</t>
  </si>
  <si>
    <t>Coronary occlusion is a complication of the coronary disease addressed in section 1.</t>
  </si>
  <si>
    <t>Section 5.10 explicitly covers inflammatory bowel disease.</t>
  </si>
  <si>
    <t>No IBS match in the full label. Listed inflammatory bowel disease and nonspecific gastrointestinal symptoms do not establish IBS.</t>
  </si>
  <si>
    <t>Sections 5.7 and 6 explicitly cover triglyceride increases.</t>
  </si>
  <si>
    <t>Sections 5.3 and 6 explicitly cover depression.</t>
  </si>
  <si>
    <t>Section 5.3 covers mood disturbance; section 6 lists emotional instability.</t>
  </si>
  <si>
    <t>Rule 1: exposure circumstance, without a specified clinical injury.</t>
  </si>
  <si>
    <t>Section 6 explicitly lists dry skin.</t>
  </si>
  <si>
    <t>Sections 5.3 and 6 explicitly cover suicidal ideation.</t>
  </si>
  <si>
    <t>Section 5.10 covers inflammatory bowel disease, including regional ileitis.</t>
  </si>
  <si>
    <t>Rule 1: treatment-use/compliance term.</t>
  </si>
  <si>
    <t>Rule 1: generic report term without an identifiable clinical event.</t>
  </si>
  <si>
    <t>Section 6 emotional instability supports mood swings; section 5.3 also covers mood disturbance.</t>
  </si>
  <si>
    <t>Section 6 explicitly lists epistaxis.</t>
  </si>
  <si>
    <t>Section 5.10 explicitly covers rectal bleeding, a synonym.</t>
  </si>
  <si>
    <t>Boxed warning and section 5.1 explicitly cover lactic acidosis.</t>
  </si>
  <si>
    <t>High blood glucose is the treatment target (section 1 and patient information).</t>
  </si>
  <si>
    <t>Section 5.3 warns of hypoglycaemia with insulin or insulin secretagogues; combination-use coverage counts.</t>
  </si>
  <si>
    <t>Section 5.1 covers lactic acidosis, a narrower event. Metabolic acidosis is a contraindication (section 4); section 7 attributes it to other drugs. Apply rule 2 and the worked example: possible_new_signal.</t>
  </si>
  <si>
    <t>Increased HbA1c measures the treated diabetes; patient information identifies HbA1c monitoring.</t>
  </si>
  <si>
    <t>Diabetes complication. Section 4 lists it as a contraindication, not an adverse effect.</t>
  </si>
  <si>
    <t>Inadequate diabetes control is the treated disease (section 1).</t>
  </si>
  <si>
    <t>Section 5.3 and patient information cover hypoglycaemia/low blood sugar, matching this laboratory finding.</t>
  </si>
  <si>
    <t>Patient information identifies hyperglycaemia as the treated condition. Section 7 attributes hyperglycaemia to other drugs.</t>
  </si>
  <si>
    <t>Section 6.1 explicitly lists diarrhoea.</t>
  </si>
  <si>
    <t>Section 1: diabetes is the treated condition.</t>
  </si>
  <si>
    <t>Unspecified abnormal glucose is a measure of diabetes control; the narrower hypoglycaemia warning cannot cover every abnormality.</t>
  </si>
  <si>
    <t>Glucose fluctuation concerns diabetes control; isolated hypoglycaemia does not establish coverage of fluctuations.</t>
  </si>
  <si>
    <t>Full pinned label has no appetite/anorexia coverage. No supported indication-related mapping.</t>
  </si>
  <si>
    <t>Section 6.1 explicitly lists nausea/vomiting.</t>
  </si>
  <si>
    <t>§1.1: treated disease; instructions about poor control do not establish drug-induced asthma.</t>
  </si>
  <si>
    <t>Asthma symptom, but sections 5.5/6.2 also warn of worsening pulmonary symptoms in eosinophilic reactions. Whether that broader warning covers the isolated symptom is unresolved: on_label versus likely_indication_or_disease.</t>
  </si>
  <si>
    <t>§§1.1–1.2: asthma/bronchoconstriction and related airway obstruction are treatment targets.</t>
  </si>
  <si>
    <t>§6.1 lists cough as an adverse reaction.</t>
  </si>
  <si>
    <t>§6.1 lists cough, which includes productive cough.</t>
  </si>
  <si>
    <t>Functional/social circumstance without a specified reaction; rule 1.</t>
  </si>
  <si>
    <t>§6.1 and Medication Guide explicitly list sinusitis.</t>
  </si>
  <si>
    <t>Efficacy/product-use term, not a specified reaction; rule 1.</t>
  </si>
  <si>
    <t>Compatible with asthma-related chest tightness under the disease-symptom rule; no specific adverse-reaction listing.</t>
  </si>
  <si>
    <t>§6.1 lists the synonymous upper respiratory infection.</t>
  </si>
  <si>
    <t>Section 6.1 Table 5 explicitly lists nasal congestion as an adverse reaction. on_label takes priority over the rhinitis indication.</t>
  </si>
  <si>
    <t>§1.3: seasonal allergic rhinitis is an indication.</t>
  </si>
  <si>
    <t>§5.2 explicitly warns of serotonin syndrome.</t>
  </si>
  <si>
    <t>Boxed warning/§5.1 covers suicidal thoughts.</t>
  </si>
  <si>
    <t>Confirmed in §§5.5/6.1 and Medication Guide; retain category despite inaccurate original quotation.</t>
  </si>
  <si>
    <t>Suicidal behaviour does not cover all intentional self-injury (rule 2). Without intent/context, likely_indication_or_disease and possible_new_signal remain defensible. Exclude from clear scoring.</t>
  </si>
  <si>
    <t>Medication Guide explicitly warns about suicide attempts.</t>
  </si>
  <si>
    <t>§6.1 explicitly lists tremor.</t>
  </si>
  <si>
    <t>§6.1 explicitly lists insomnia; also §5.5.</t>
  </si>
  <si>
    <t>Suicidal-behaviour warning covers suicide; §5.1 does not establish causality for deaths.</t>
  </si>
  <si>
    <t>§6.1 explicitly lists agitation; also §§5.2/5.5.</t>
  </si>
  <si>
    <t>§6.1 explicitly lists confusional state.</t>
  </si>
  <si>
    <t>§6.1 Table 3 explicitly lists somnolence.</t>
  </si>
  <si>
    <t>§5.11 explicitly covers sexual dysfunction; stronger than the original narrower examples.</t>
  </si>
  <si>
    <t>Medication Guide warns about new/worsening panic attacks; this precedes the panic-disorder indication.</t>
  </si>
  <si>
    <t>§5.8 explicitly connects treatment-related hyponatraemia/unsteadiness with falls.</t>
  </si>
  <si>
    <t>Sections 5.1 and 17 explicitly cover ketoacidosis despite normal or unexpectedly low glucose.</t>
  </si>
  <si>
    <t>Explicitly listed in sections 5.1 and 6.2.</t>
  </si>
  <si>
    <t>Sections 5.3 and 6.2 name Fournier's gangrene as the perineal necrotizing infection.</t>
  </si>
  <si>
    <t>Resolve prior ambiguity: sections 5.3/6.2 and the Medication Guide restrict the warning to the perineum. Rule 2 forbids extending this to every site; the report gives no site.</t>
  </si>
  <si>
    <t>Section 5.5 specifically includes toe amputations.</t>
  </si>
  <si>
    <t>Section 5.5 includes amputations above and below the knee.</t>
  </si>
  <si>
    <t>Section 5.1 mentions pancreatitis history as a ketoacidosis risk factor, not a drug-caused reaction.</t>
  </si>
  <si>
    <t>The broader lower-limb warning in section 5.5 covers foot amputation.</t>
  </si>
  <si>
    <t>Section 5.5 covers lower limbs only; the generic heading does not widen that scope. Unspecified amputation could be diabetes-related or a separate unlisted event: likely_indication_or_disease versus possible_new_signal.</t>
  </si>
  <si>
    <t>No label match. Related diabetes comorbidity versus distinct unlisted disease: likely_indication_or_disease or possible_new_signal. Retain ambiguity. Context: https://www.niddk.nih.gov/health-information/diabetes/overview/preventing-problems</t>
  </si>
  <si>
    <t>Resolve prior ambiguity: section 5.3 addresses worsening depression, and the Medication Guide lists new/worsening depression. This broader warning covers perinatal depression; on_label takes precedence over the indication.</t>
  </si>
  <si>
    <t>An exposure circumstance, not an injury or reaction. Rule 1 applies despite milk transfer documented in section 8.2.</t>
  </si>
  <si>
    <t>Section 5.2 broadly labels somnolence, supporting on_label. Section 8.2 has no infant-effect data, so neonatal somnolence supports possible_new_signal. The rubric does not resolve population transfer; retain ambiguity.</t>
  </si>
  <si>
    <t>Related postpartum illness versus distinct unlisted syndrome: likely_indication_or_disease or possible_new_signal. Section 9.3 paranoia does not cover the syndrome. Context: https://www.nimh.nih.gov/health/publications/perinatal-depression</t>
  </si>
  <si>
    <t>Section 8.2 uncertainty about milk production is not a labelled disorder. Unlisted event versus depression-associated breastfeeding difficulty: possible_new_signal or likely_indication_or_disease. Context: https://www.nichd.nih.gov/newsroom/news/011723-depression-pregnancy</t>
  </si>
  <si>
    <t>Why: Vigil's accuracy figures are scored against reference labels drafted by an AI (Claude). I am Ricky and I am reviewing the accuracy number is quoted publicly. This sheet holds the rows those figures rest on: the 71 clear rows of eval/gold_v2.jsonl and the 15 serious terms outside the screen behind the safety-net claim (eval/gold_newdrugs_v1.jsonl, empagliflozin and zuranolone).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</si>
</sst>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4"/>
      <name val="Arial"/>
    </font>
    <font>
      <sz val="10"/>
      <name val="Arial"/>
    </font>
    <font>
      <b/>
      <sz val="10"/>
      <name val="Arial"/>
    </font>
    <font>
      <b/>
      <sz val="10"/>
      <color rgb="FFFFFFFF"/>
      <name val="Arial"/>
    </font>
    <font>
      <u/>
      <sz val="10"/>
      <color rgb="FF0563C1"/>
      <name val="Arial"/>
    </font>
    <font>
      <i/>
      <sz val="9"/>
      <name val="Arial"/>
    </font>
  </fonts>
  <fills count="5">
    <fill>
      <patternFill patternType="none"/>
    </fill>
    <fill>
      <patternFill patternType="gray125"/>
    </fill>
    <fill>
      <patternFill patternType="solid">
        <fgColor rgb="FFFFFF00"/>
      </patternFill>
    </fill>
    <fill>
      <patternFill patternType="solid">
        <fgColor rgb="FF1F3864"/>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xf numFmtId="0" fontId="2" fillId="2" borderId="0" xfId="0" applyFont="1" applyFill="1" applyAlignment="1">
      <alignment vertical="top" wrapText="1"/>
    </xf>
    <xf numFmtId="0" fontId="2" fillId="2" borderId="1" xfId="0" applyFont="1" applyFill="1" applyBorder="1"/>
    <xf numFmtId="0" fontId="4" fillId="3" borderId="1" xfId="0" applyFont="1" applyFill="1" applyBorder="1" applyAlignment="1">
      <alignment vertical="center" wrapText="1"/>
    </xf>
    <xf numFmtId="0" fontId="2" fillId="0" borderId="1" xfId="0" applyFont="1" applyBorder="1" applyAlignment="1">
      <alignment vertical="top" wrapText="1"/>
    </xf>
    <xf numFmtId="0" fontId="2" fillId="2" borderId="1" xfId="0" applyFont="1" applyFill="1" applyBorder="1" applyAlignment="1">
      <alignment vertical="top" wrapText="1"/>
    </xf>
    <xf numFmtId="0" fontId="2" fillId="4" borderId="1" xfId="0" applyFont="1" applyFill="1" applyBorder="1" applyAlignment="1">
      <alignment vertical="top" wrapText="1"/>
    </xf>
    <xf numFmtId="0" fontId="4" fillId="3" borderId="0" xfId="0" applyFont="1" applyFill="1" applyAlignment="1">
      <alignment vertical="top" wrapText="1"/>
    </xf>
    <xf numFmtId="0" fontId="5" fillId="0" borderId="0" xfId="0" applyFont="1" applyAlignment="1">
      <alignment vertical="top" wrapText="1"/>
    </xf>
    <xf numFmtId="0" fontId="1" fillId="0" borderId="0" xfId="0" applyFont="1"/>
    <xf numFmtId="0" fontId="4" fillId="3" borderId="0" xfId="0" applyFont="1" applyFill="1"/>
    <xf numFmtId="0" fontId="2" fillId="0" borderId="0" xfId="0" applyFont="1"/>
    <xf numFmtId="164" fontId="2" fillId="0" borderId="0" xfId="0" applyNumberFormat="1" applyFont="1"/>
    <xf numFmtId="0" fontId="6" fillId="0" borderId="0" xfId="0" applyFont="1"/>
    <xf numFmtId="14" fontId="2" fillId="2" borderId="1" xfId="0" applyNumberFormat="1" applyFont="1" applyFill="1" applyBorder="1"/>
    <xf numFmtId="0" fontId="6" fillId="0" borderId="0" xfId="0" applyFont="1" applyAlignment="1">
      <alignment vertical="top" wrapText="1"/>
    </xf>
    <xf numFmtId="0" fontId="0" fillId="0" borderId="0" xfId="0"/>
  </cellXfs>
  <cellStyles count="1">
    <cellStyle name="Normal" xfId="0" builtinId="0"/>
  </cellStyles>
  <dxfs count="1">
    <dxf>
      <fill>
        <patternFill patternType="solid">
          <fgColor rgb="FFFF999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dailymed.nlm.nih.gov/dailymed/lookup.cfm?setid=c2917c3d-3499-48a0-ba53-120cb979195d" TargetMode="External"/><Relationship Id="rId7" Type="http://schemas.openxmlformats.org/officeDocument/2006/relationships/hyperlink" Target="https://dailymed.nlm.nih.gov/dailymed/lookup.cfm?setid=f18e53b0-d0bb-422d-8de7-ab64b7292b29" TargetMode="External"/><Relationship Id="rId2" Type="http://schemas.openxmlformats.org/officeDocument/2006/relationships/hyperlink" Target="https://dailymed.nlm.nih.gov/dailymed/lookup.cfm?setid=59ed43d9-b4e0-72a2-e063-6394a90a327d" TargetMode="External"/><Relationship Id="rId1" Type="http://schemas.openxmlformats.org/officeDocument/2006/relationships/hyperlink" Target="https://dailymed.nlm.nih.gov/dailymed/lookup.cfm?setid=6600f22e-d303-4fe3-8212-accd6fb06e62" TargetMode="External"/><Relationship Id="rId6" Type="http://schemas.openxmlformats.org/officeDocument/2006/relationships/hyperlink" Target="https://dailymed.nlm.nih.gov/dailymed/lookup.cfm?setid=7d598f1a-6c76-458a-a155-7a6a0743a2d3" TargetMode="External"/><Relationship Id="rId5" Type="http://schemas.openxmlformats.org/officeDocument/2006/relationships/hyperlink" Target="https://dailymed.nlm.nih.gov/dailymed/lookup.cfm?setid=583a9499-97f0-2ebf-e063-6394a90a35af" TargetMode="External"/><Relationship Id="rId4" Type="http://schemas.openxmlformats.org/officeDocument/2006/relationships/hyperlink" Target="https://dailymed.nlm.nih.gov/dailymed/lookup.cfm?setid=05999192-ebc6-4198-bd1e-f46abbfb4f8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12" workbookViewId="0">
      <selection activeCell="A3" sqref="A3"/>
    </sheetView>
  </sheetViews>
  <sheetFormatPr defaultRowHeight="14.25" x14ac:dyDescent="0.45"/>
  <cols>
    <col min="1" max="1" width="120" customWidth="1"/>
    <col min="2" max="6" width="22" customWidth="1"/>
  </cols>
  <sheetData>
    <row r="1" spans="1:1" ht="17.649999999999999" x14ac:dyDescent="0.45">
      <c r="A1" s="1" t="s">
        <v>0</v>
      </c>
    </row>
    <row r="2" spans="1:1" x14ac:dyDescent="0.45">
      <c r="A2" s="2"/>
    </row>
    <row r="3" spans="1:1" ht="38.25" x14ac:dyDescent="0.45">
      <c r="A3" s="2" t="s">
        <v>600</v>
      </c>
    </row>
    <row r="4" spans="1:1" x14ac:dyDescent="0.45">
      <c r="A4" s="2"/>
    </row>
    <row r="5" spans="1:1" x14ac:dyDescent="0.45">
      <c r="A5" s="3" t="s">
        <v>1</v>
      </c>
    </row>
    <row r="6" spans="1:1" ht="25.5" x14ac:dyDescent="0.45">
      <c r="A6" s="2" t="s">
        <v>2</v>
      </c>
    </row>
    <row r="7" spans="1:1" x14ac:dyDescent="0.45">
      <c r="A7" s="2" t="s">
        <v>3</v>
      </c>
    </row>
    <row r="8" spans="1:1" x14ac:dyDescent="0.45">
      <c r="A8" s="2" t="s">
        <v>4</v>
      </c>
    </row>
    <row r="9" spans="1:1" x14ac:dyDescent="0.45">
      <c r="A9" s="2" t="s">
        <v>5</v>
      </c>
    </row>
    <row r="10" spans="1:1" x14ac:dyDescent="0.45">
      <c r="A10" s="2" t="s">
        <v>6</v>
      </c>
    </row>
    <row r="11" spans="1:1" ht="25.5" x14ac:dyDescent="0.45">
      <c r="A11" s="2" t="s">
        <v>7</v>
      </c>
    </row>
    <row r="12" spans="1:1" x14ac:dyDescent="0.45">
      <c r="A12" s="2"/>
    </row>
    <row r="13" spans="1:1" x14ac:dyDescent="0.45">
      <c r="A13" s="3" t="s">
        <v>8</v>
      </c>
    </row>
    <row r="14" spans="1:1" ht="25.5" x14ac:dyDescent="0.45">
      <c r="A14" s="2" t="s">
        <v>9</v>
      </c>
    </row>
    <row r="15" spans="1:1" ht="38.25" x14ac:dyDescent="0.45">
      <c r="A15" s="2" t="s">
        <v>10</v>
      </c>
    </row>
    <row r="16" spans="1:1" ht="25.5" x14ac:dyDescent="0.45">
      <c r="A16" s="2" t="s">
        <v>11</v>
      </c>
    </row>
    <row r="17" spans="1:6" ht="25.5" x14ac:dyDescent="0.45">
      <c r="A17" s="2" t="s">
        <v>12</v>
      </c>
    </row>
    <row r="18" spans="1:6" x14ac:dyDescent="0.45">
      <c r="A18" s="2" t="s">
        <v>13</v>
      </c>
    </row>
    <row r="19" spans="1:6" x14ac:dyDescent="0.45">
      <c r="A19" s="2"/>
    </row>
    <row r="20" spans="1:6" x14ac:dyDescent="0.45">
      <c r="A20" s="3" t="s">
        <v>14</v>
      </c>
    </row>
    <row r="21" spans="1:6" x14ac:dyDescent="0.45">
      <c r="A21" s="2"/>
    </row>
    <row r="22" spans="1:6" x14ac:dyDescent="0.45">
      <c r="A22" s="3" t="s">
        <v>15</v>
      </c>
    </row>
    <row r="23" spans="1:6" x14ac:dyDescent="0.45">
      <c r="A23" s="4" t="s">
        <v>16</v>
      </c>
      <c r="B23" s="4" t="s">
        <v>17</v>
      </c>
      <c r="C23" s="4" t="s">
        <v>18</v>
      </c>
      <c r="D23" s="4" t="s">
        <v>19</v>
      </c>
      <c r="E23" s="4" t="s">
        <v>20</v>
      </c>
      <c r="F23" s="4" t="s">
        <v>21</v>
      </c>
    </row>
    <row r="24" spans="1:6" ht="38.25" x14ac:dyDescent="0.45">
      <c r="A24" s="2" t="s">
        <v>22</v>
      </c>
      <c r="B24" s="2" t="s">
        <v>23</v>
      </c>
      <c r="C24" s="5" t="s">
        <v>24</v>
      </c>
      <c r="D24" s="5" t="s">
        <v>25</v>
      </c>
      <c r="E24" s="5" t="s">
        <v>26</v>
      </c>
      <c r="F24" s="5" t="s">
        <v>27</v>
      </c>
    </row>
    <row r="26" spans="1:6" x14ac:dyDescent="0.45">
      <c r="A26" s="4" t="s">
        <v>28</v>
      </c>
      <c r="B26" s="6" t="s">
        <v>516</v>
      </c>
    </row>
    <row r="27" spans="1:6" x14ac:dyDescent="0.45">
      <c r="A27" s="4" t="s">
        <v>29</v>
      </c>
      <c r="B27" s="18">
        <v>46321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7"/>
  <sheetViews>
    <sheetView workbookViewId="0">
      <pane xSplit="5" ySplit="1" topLeftCell="N3" activePane="bottomRight" state="frozen"/>
      <selection pane="topRight"/>
      <selection pane="bottomLeft"/>
      <selection pane="bottomRight"/>
    </sheetView>
  </sheetViews>
  <sheetFormatPr defaultRowHeight="14.25" x14ac:dyDescent="0.45"/>
  <cols>
    <col min="1" max="1" width="10" customWidth="1"/>
    <col min="2" max="2" width="16" customWidth="1"/>
    <col min="3" max="3" width="8" customWidth="1"/>
    <col min="4" max="4" width="13" customWidth="1"/>
    <col min="5" max="5" width="28" customWidth="1"/>
    <col min="6" max="6" width="9" customWidth="1"/>
    <col min="7" max="7" width="7" customWidth="1"/>
    <col min="8" max="8" width="22" customWidth="1"/>
    <col min="9" max="9" width="30" customWidth="1"/>
    <col min="10" max="10" width="40" customWidth="1"/>
    <col min="11" max="11" width="16" customWidth="1"/>
    <col min="12" max="12" width="40" customWidth="1"/>
    <col min="13" max="14" width="70" customWidth="1"/>
    <col min="15" max="15" width="16" customWidth="1"/>
    <col min="16" max="16" width="24" customWidth="1"/>
    <col min="17" max="17" width="36" customWidth="1"/>
    <col min="18" max="18" width="10" customWidth="1"/>
  </cols>
  <sheetData>
    <row r="1" spans="1:18" ht="48" customHeight="1" x14ac:dyDescent="0.45">
      <c r="A1" s="7" t="s">
        <v>30</v>
      </c>
      <c r="B1" s="7" t="s">
        <v>31</v>
      </c>
      <c r="C1" s="7" t="s">
        <v>32</v>
      </c>
      <c r="D1" s="7" t="s">
        <v>33</v>
      </c>
      <c r="E1" s="7" t="s">
        <v>16</v>
      </c>
      <c r="F1" s="7" t="s">
        <v>34</v>
      </c>
      <c r="G1" s="7" t="s">
        <v>35</v>
      </c>
      <c r="H1" s="7" t="s">
        <v>17</v>
      </c>
      <c r="I1" s="7" t="s">
        <v>36</v>
      </c>
      <c r="J1" s="7" t="s">
        <v>37</v>
      </c>
      <c r="K1" s="7" t="s">
        <v>38</v>
      </c>
      <c r="L1" s="7" t="s">
        <v>39</v>
      </c>
      <c r="M1" s="7" t="s">
        <v>40</v>
      </c>
      <c r="N1" s="7" t="s">
        <v>41</v>
      </c>
      <c r="O1" s="7" t="s">
        <v>42</v>
      </c>
      <c r="P1" s="7" t="s">
        <v>43</v>
      </c>
      <c r="Q1" s="7" t="s">
        <v>20</v>
      </c>
      <c r="R1" s="7" t="s">
        <v>44</v>
      </c>
    </row>
    <row r="2" spans="1:18" ht="150" customHeight="1" x14ac:dyDescent="0.45">
      <c r="A2" s="8" t="s">
        <v>45</v>
      </c>
      <c r="B2" s="8" t="s">
        <v>46</v>
      </c>
      <c r="C2" s="8">
        <v>2</v>
      </c>
      <c r="D2" s="8" t="s">
        <v>47</v>
      </c>
      <c r="E2" s="8" t="s">
        <v>48</v>
      </c>
      <c r="F2" s="8">
        <v>16616</v>
      </c>
      <c r="G2" s="8">
        <v>4.2699999999999996</v>
      </c>
      <c r="H2" s="8" t="s">
        <v>23</v>
      </c>
      <c r="I2" s="8"/>
      <c r="J2" s="8" t="s">
        <v>49</v>
      </c>
      <c r="K2" s="8" t="s">
        <v>50</v>
      </c>
      <c r="L2" s="8" t="s">
        <v>51</v>
      </c>
      <c r="M2" s="8" t="s">
        <v>52</v>
      </c>
      <c r="N2" s="8" t="s">
        <v>53</v>
      </c>
      <c r="O2" s="9" t="s">
        <v>510</v>
      </c>
      <c r="P2" s="9"/>
      <c r="Q2" s="9" t="s">
        <v>517</v>
      </c>
      <c r="R2" s="9" t="s">
        <v>27</v>
      </c>
    </row>
    <row r="3" spans="1:18" ht="150" customHeight="1" x14ac:dyDescent="0.45">
      <c r="A3" s="10" t="s">
        <v>54</v>
      </c>
      <c r="B3" s="10" t="s">
        <v>46</v>
      </c>
      <c r="C3" s="10">
        <v>3</v>
      </c>
      <c r="D3" s="10" t="s">
        <v>47</v>
      </c>
      <c r="E3" s="10" t="s">
        <v>55</v>
      </c>
      <c r="F3" s="10">
        <v>14889</v>
      </c>
      <c r="G3" s="10">
        <v>4.2699999999999996</v>
      </c>
      <c r="H3" s="10" t="s">
        <v>23</v>
      </c>
      <c r="I3" s="10" t="s">
        <v>56</v>
      </c>
      <c r="J3" s="10" t="s">
        <v>57</v>
      </c>
      <c r="K3" s="10" t="s">
        <v>58</v>
      </c>
      <c r="L3" s="10" t="s">
        <v>59</v>
      </c>
      <c r="M3" s="10" t="s">
        <v>60</v>
      </c>
      <c r="N3" s="10" t="s">
        <v>61</v>
      </c>
      <c r="O3" s="9" t="s">
        <v>510</v>
      </c>
      <c r="P3" s="9"/>
      <c r="Q3" s="9" t="s">
        <v>518</v>
      </c>
      <c r="R3" s="9" t="s">
        <v>27</v>
      </c>
    </row>
    <row r="4" spans="1:18" ht="150" customHeight="1" x14ac:dyDescent="0.45">
      <c r="A4" s="8" t="s">
        <v>62</v>
      </c>
      <c r="B4" s="8" t="s">
        <v>46</v>
      </c>
      <c r="C4" s="8">
        <v>5</v>
      </c>
      <c r="D4" s="8" t="s">
        <v>47</v>
      </c>
      <c r="E4" s="8" t="s">
        <v>63</v>
      </c>
      <c r="F4" s="8">
        <v>5677</v>
      </c>
      <c r="G4" s="8">
        <v>6.23</v>
      </c>
      <c r="H4" s="8" t="s">
        <v>23</v>
      </c>
      <c r="I4" s="8"/>
      <c r="J4" s="8" t="s">
        <v>64</v>
      </c>
      <c r="K4" s="8" t="s">
        <v>50</v>
      </c>
      <c r="L4" s="8" t="s">
        <v>65</v>
      </c>
      <c r="M4" s="8" t="s">
        <v>66</v>
      </c>
      <c r="N4" s="8" t="s">
        <v>67</v>
      </c>
      <c r="O4" s="9" t="s">
        <v>510</v>
      </c>
      <c r="P4" s="9"/>
      <c r="Q4" s="9" t="s">
        <v>519</v>
      </c>
      <c r="R4" s="9" t="s">
        <v>27</v>
      </c>
    </row>
    <row r="5" spans="1:18" ht="150" customHeight="1" x14ac:dyDescent="0.45">
      <c r="A5" s="8" t="s">
        <v>68</v>
      </c>
      <c r="B5" s="8" t="s">
        <v>46</v>
      </c>
      <c r="C5" s="8">
        <v>8</v>
      </c>
      <c r="D5" s="8" t="s">
        <v>47</v>
      </c>
      <c r="E5" s="8" t="s">
        <v>69</v>
      </c>
      <c r="F5" s="8">
        <v>3286</v>
      </c>
      <c r="G5" s="8">
        <v>4.99</v>
      </c>
      <c r="H5" s="8" t="s">
        <v>23</v>
      </c>
      <c r="I5" s="8"/>
      <c r="J5" s="8" t="s">
        <v>70</v>
      </c>
      <c r="K5" s="8" t="s">
        <v>58</v>
      </c>
      <c r="L5" s="8" t="s">
        <v>71</v>
      </c>
      <c r="M5" s="8" t="s">
        <v>72</v>
      </c>
      <c r="N5" s="8" t="s">
        <v>73</v>
      </c>
      <c r="O5" s="9" t="s">
        <v>510</v>
      </c>
      <c r="P5" s="9"/>
      <c r="Q5" s="9" t="s">
        <v>520</v>
      </c>
      <c r="R5" s="9" t="s">
        <v>27</v>
      </c>
    </row>
    <row r="6" spans="1:18" ht="150" customHeight="1" x14ac:dyDescent="0.45">
      <c r="A6" s="8" t="s">
        <v>74</v>
      </c>
      <c r="B6" s="8" t="s">
        <v>46</v>
      </c>
      <c r="C6" s="8">
        <v>10</v>
      </c>
      <c r="D6" s="8" t="s">
        <v>47</v>
      </c>
      <c r="E6" s="8" t="s">
        <v>75</v>
      </c>
      <c r="F6" s="8">
        <v>7718</v>
      </c>
      <c r="G6" s="8">
        <v>2.87</v>
      </c>
      <c r="H6" s="8" t="s">
        <v>23</v>
      </c>
      <c r="I6" s="8"/>
      <c r="J6" s="8" t="s">
        <v>76</v>
      </c>
      <c r="K6" s="8" t="s">
        <v>58</v>
      </c>
      <c r="L6" s="8" t="s">
        <v>77</v>
      </c>
      <c r="M6" s="8" t="s">
        <v>78</v>
      </c>
      <c r="N6" s="8" t="s">
        <v>79</v>
      </c>
      <c r="O6" s="9" t="s">
        <v>510</v>
      </c>
      <c r="P6" s="9"/>
      <c r="Q6" s="9" t="s">
        <v>521</v>
      </c>
      <c r="R6" s="9" t="s">
        <v>27</v>
      </c>
    </row>
    <row r="7" spans="1:18" ht="150" customHeight="1" x14ac:dyDescent="0.45">
      <c r="A7" s="8" t="s">
        <v>80</v>
      </c>
      <c r="B7" s="8" t="s">
        <v>46</v>
      </c>
      <c r="C7" s="8">
        <v>11</v>
      </c>
      <c r="D7" s="8" t="s">
        <v>47</v>
      </c>
      <c r="E7" s="8" t="s">
        <v>81</v>
      </c>
      <c r="F7" s="8">
        <v>4293</v>
      </c>
      <c r="G7" s="8">
        <v>4</v>
      </c>
      <c r="H7" s="8" t="s">
        <v>82</v>
      </c>
      <c r="I7" s="8"/>
      <c r="J7" s="8" t="s">
        <v>83</v>
      </c>
      <c r="K7" s="8" t="s">
        <v>50</v>
      </c>
      <c r="L7" s="8" t="s">
        <v>77</v>
      </c>
      <c r="M7" s="8" t="s">
        <v>78</v>
      </c>
      <c r="N7" s="8" t="s">
        <v>84</v>
      </c>
      <c r="O7" s="9" t="s">
        <v>510</v>
      </c>
      <c r="P7" s="9"/>
      <c r="Q7" s="9" t="s">
        <v>522</v>
      </c>
      <c r="R7" s="9" t="s">
        <v>27</v>
      </c>
    </row>
    <row r="8" spans="1:18" ht="150" customHeight="1" x14ac:dyDescent="0.45">
      <c r="A8" s="10" t="s">
        <v>85</v>
      </c>
      <c r="B8" s="10" t="s">
        <v>46</v>
      </c>
      <c r="C8" s="10">
        <v>12</v>
      </c>
      <c r="D8" s="10" t="s">
        <v>47</v>
      </c>
      <c r="E8" s="10" t="s">
        <v>86</v>
      </c>
      <c r="F8" s="10">
        <v>8578</v>
      </c>
      <c r="G8" s="10">
        <v>2.7</v>
      </c>
      <c r="H8" s="10" t="s">
        <v>23</v>
      </c>
      <c r="I8" s="10" t="s">
        <v>56</v>
      </c>
      <c r="J8" s="10" t="s">
        <v>87</v>
      </c>
      <c r="K8" s="10" t="s">
        <v>58</v>
      </c>
      <c r="L8" s="10" t="s">
        <v>59</v>
      </c>
      <c r="M8" s="10" t="s">
        <v>88</v>
      </c>
      <c r="N8" s="10" t="s">
        <v>89</v>
      </c>
      <c r="O8" s="9" t="s">
        <v>510</v>
      </c>
      <c r="P8" s="9"/>
      <c r="Q8" s="9" t="s">
        <v>523</v>
      </c>
      <c r="R8" s="9" t="s">
        <v>27</v>
      </c>
    </row>
    <row r="9" spans="1:18" ht="150" customHeight="1" x14ac:dyDescent="0.45">
      <c r="A9" s="8" t="s">
        <v>90</v>
      </c>
      <c r="B9" s="8" t="s">
        <v>46</v>
      </c>
      <c r="C9" s="8">
        <v>13</v>
      </c>
      <c r="D9" s="8" t="s">
        <v>47</v>
      </c>
      <c r="E9" s="8" t="s">
        <v>91</v>
      </c>
      <c r="F9" s="8">
        <v>10256</v>
      </c>
      <c r="G9" s="8">
        <v>2.44</v>
      </c>
      <c r="H9" s="8" t="s">
        <v>82</v>
      </c>
      <c r="I9" s="8"/>
      <c r="J9" s="8" t="s">
        <v>92</v>
      </c>
      <c r="K9" s="8" t="s">
        <v>58</v>
      </c>
      <c r="L9" s="8" t="s">
        <v>93</v>
      </c>
      <c r="M9" s="8" t="s">
        <v>94</v>
      </c>
      <c r="N9" s="8" t="s">
        <v>95</v>
      </c>
      <c r="O9" s="9" t="s">
        <v>510</v>
      </c>
      <c r="P9" s="9"/>
      <c r="Q9" s="9" t="s">
        <v>524</v>
      </c>
      <c r="R9" s="9" t="s">
        <v>27</v>
      </c>
    </row>
    <row r="10" spans="1:18" ht="150" customHeight="1" x14ac:dyDescent="0.45">
      <c r="A10" s="8" t="s">
        <v>96</v>
      </c>
      <c r="B10" s="8" t="s">
        <v>46</v>
      </c>
      <c r="C10" s="8">
        <v>15</v>
      </c>
      <c r="D10" s="8" t="s">
        <v>47</v>
      </c>
      <c r="E10" s="8" t="s">
        <v>97</v>
      </c>
      <c r="F10" s="8">
        <v>3027</v>
      </c>
      <c r="G10" s="8">
        <v>4.34</v>
      </c>
      <c r="H10" s="8" t="s">
        <v>82</v>
      </c>
      <c r="I10" s="8"/>
      <c r="J10" s="8" t="s">
        <v>98</v>
      </c>
      <c r="K10" s="8" t="s">
        <v>50</v>
      </c>
      <c r="L10" s="8" t="s">
        <v>77</v>
      </c>
      <c r="M10" s="8" t="s">
        <v>78</v>
      </c>
      <c r="N10" s="8" t="s">
        <v>99</v>
      </c>
      <c r="O10" s="9" t="s">
        <v>510</v>
      </c>
      <c r="P10" s="9"/>
      <c r="Q10" s="9" t="s">
        <v>525</v>
      </c>
      <c r="R10" s="9" t="s">
        <v>27</v>
      </c>
    </row>
    <row r="11" spans="1:18" ht="150" customHeight="1" x14ac:dyDescent="0.45">
      <c r="A11" s="8" t="s">
        <v>100</v>
      </c>
      <c r="B11" s="8" t="s">
        <v>46</v>
      </c>
      <c r="C11" s="8">
        <v>16</v>
      </c>
      <c r="D11" s="8" t="s">
        <v>47</v>
      </c>
      <c r="E11" s="8" t="s">
        <v>101</v>
      </c>
      <c r="F11" s="8">
        <v>9718</v>
      </c>
      <c r="G11" s="8">
        <v>2.2000000000000002</v>
      </c>
      <c r="H11" s="8" t="s">
        <v>23</v>
      </c>
      <c r="I11" s="8"/>
      <c r="J11" s="8" t="s">
        <v>102</v>
      </c>
      <c r="K11" s="8" t="s">
        <v>58</v>
      </c>
      <c r="L11" s="8" t="s">
        <v>103</v>
      </c>
      <c r="M11" s="8" t="s">
        <v>104</v>
      </c>
      <c r="N11" s="8" t="s">
        <v>105</v>
      </c>
      <c r="O11" s="9" t="s">
        <v>510</v>
      </c>
      <c r="P11" s="9"/>
      <c r="Q11" s="9" t="s">
        <v>526</v>
      </c>
      <c r="R11" s="9" t="s">
        <v>27</v>
      </c>
    </row>
    <row r="12" spans="1:18" ht="150" customHeight="1" x14ac:dyDescent="0.45">
      <c r="A12" s="10" t="s">
        <v>106</v>
      </c>
      <c r="B12" s="10" t="s">
        <v>46</v>
      </c>
      <c r="C12" s="10">
        <v>17</v>
      </c>
      <c r="D12" s="10" t="s">
        <v>47</v>
      </c>
      <c r="E12" s="10" t="s">
        <v>107</v>
      </c>
      <c r="F12" s="10">
        <v>9712</v>
      </c>
      <c r="G12" s="10">
        <v>2.1800000000000002</v>
      </c>
      <c r="H12" s="10" t="s">
        <v>82</v>
      </c>
      <c r="I12" s="10" t="s">
        <v>56</v>
      </c>
      <c r="J12" s="10" t="s">
        <v>108</v>
      </c>
      <c r="K12" s="10" t="s">
        <v>58</v>
      </c>
      <c r="L12" s="10" t="s">
        <v>109</v>
      </c>
      <c r="M12" s="10" t="s">
        <v>110</v>
      </c>
      <c r="N12" s="10" t="s">
        <v>111</v>
      </c>
      <c r="O12" s="9" t="s">
        <v>510</v>
      </c>
      <c r="P12" s="9"/>
      <c r="Q12" s="9" t="s">
        <v>527</v>
      </c>
      <c r="R12" s="9" t="s">
        <v>27</v>
      </c>
    </row>
    <row r="13" spans="1:18" ht="150" customHeight="1" x14ac:dyDescent="0.45">
      <c r="A13" s="8" t="s">
        <v>112</v>
      </c>
      <c r="B13" s="8" t="s">
        <v>46</v>
      </c>
      <c r="C13" s="8">
        <v>19</v>
      </c>
      <c r="D13" s="8" t="s">
        <v>47</v>
      </c>
      <c r="E13" s="8" t="s">
        <v>113</v>
      </c>
      <c r="F13" s="8">
        <v>2748</v>
      </c>
      <c r="G13" s="8">
        <v>4.03</v>
      </c>
      <c r="H13" s="8" t="s">
        <v>82</v>
      </c>
      <c r="I13" s="8"/>
      <c r="J13" s="8" t="s">
        <v>114</v>
      </c>
      <c r="K13" s="8" t="s">
        <v>58</v>
      </c>
      <c r="L13" s="8" t="s">
        <v>77</v>
      </c>
      <c r="M13" s="8" t="s">
        <v>78</v>
      </c>
      <c r="N13" s="8" t="s">
        <v>115</v>
      </c>
      <c r="O13" s="9" t="s">
        <v>510</v>
      </c>
      <c r="P13" s="9"/>
      <c r="Q13" s="9" t="s">
        <v>528</v>
      </c>
      <c r="R13" s="9" t="s">
        <v>27</v>
      </c>
    </row>
    <row r="14" spans="1:18" ht="150" customHeight="1" x14ac:dyDescent="0.45">
      <c r="A14" s="8" t="s">
        <v>116</v>
      </c>
      <c r="B14" s="8" t="s">
        <v>46</v>
      </c>
      <c r="C14" s="8">
        <v>20</v>
      </c>
      <c r="D14" s="8" t="s">
        <v>47</v>
      </c>
      <c r="E14" s="8" t="s">
        <v>117</v>
      </c>
      <c r="F14" s="8">
        <v>1683</v>
      </c>
      <c r="G14" s="8">
        <v>5.48</v>
      </c>
      <c r="H14" s="8" t="s">
        <v>82</v>
      </c>
      <c r="I14" s="8"/>
      <c r="J14" s="8" t="s">
        <v>118</v>
      </c>
      <c r="K14" s="8" t="s">
        <v>50</v>
      </c>
      <c r="L14" s="8" t="s">
        <v>77</v>
      </c>
      <c r="M14" s="8" t="s">
        <v>78</v>
      </c>
      <c r="N14" s="8" t="s">
        <v>119</v>
      </c>
      <c r="O14" s="9" t="s">
        <v>510</v>
      </c>
      <c r="P14" s="9"/>
      <c r="Q14" s="9" t="s">
        <v>529</v>
      </c>
      <c r="R14" s="9" t="s">
        <v>27</v>
      </c>
    </row>
    <row r="15" spans="1:18" ht="150" customHeight="1" x14ac:dyDescent="0.45">
      <c r="A15" s="8" t="s">
        <v>120</v>
      </c>
      <c r="B15" s="8" t="s">
        <v>46</v>
      </c>
      <c r="C15" s="8">
        <v>21</v>
      </c>
      <c r="D15" s="8" t="s">
        <v>121</v>
      </c>
      <c r="E15" s="8" t="s">
        <v>122</v>
      </c>
      <c r="F15" s="8">
        <v>5257</v>
      </c>
      <c r="G15" s="8">
        <v>427.06</v>
      </c>
      <c r="H15" s="8" t="s">
        <v>23</v>
      </c>
      <c r="I15" s="8"/>
      <c r="J15" s="8" t="s">
        <v>123</v>
      </c>
      <c r="K15" s="8" t="s">
        <v>58</v>
      </c>
      <c r="L15" s="8" t="s">
        <v>124</v>
      </c>
      <c r="M15" s="8" t="s">
        <v>125</v>
      </c>
      <c r="N15" s="8" t="s">
        <v>126</v>
      </c>
      <c r="O15" s="9" t="s">
        <v>510</v>
      </c>
      <c r="P15" s="9"/>
      <c r="Q15" s="9" t="s">
        <v>530</v>
      </c>
      <c r="R15" s="9" t="s">
        <v>27</v>
      </c>
    </row>
    <row r="16" spans="1:18" ht="150" customHeight="1" x14ac:dyDescent="0.45">
      <c r="A16" s="8" t="s">
        <v>127</v>
      </c>
      <c r="B16" s="8" t="s">
        <v>46</v>
      </c>
      <c r="C16" s="8">
        <v>23</v>
      </c>
      <c r="D16" s="8" t="s">
        <v>121</v>
      </c>
      <c r="E16" s="8" t="s">
        <v>128</v>
      </c>
      <c r="F16" s="8">
        <v>3810</v>
      </c>
      <c r="G16" s="8">
        <v>34.29</v>
      </c>
      <c r="H16" s="8" t="s">
        <v>23</v>
      </c>
      <c r="I16" s="8"/>
      <c r="J16" s="8" t="s">
        <v>129</v>
      </c>
      <c r="K16" s="8" t="s">
        <v>50</v>
      </c>
      <c r="L16" s="8" t="s">
        <v>130</v>
      </c>
      <c r="M16" s="8" t="s">
        <v>78</v>
      </c>
      <c r="N16" s="8" t="s">
        <v>131</v>
      </c>
      <c r="O16" s="9" t="s">
        <v>510</v>
      </c>
      <c r="P16" s="9"/>
      <c r="Q16" s="9" t="e">
        <v>#NULL!</v>
      </c>
      <c r="R16" s="9" t="s">
        <v>27</v>
      </c>
    </row>
    <row r="17" spans="1:18" ht="150" customHeight="1" x14ac:dyDescent="0.45">
      <c r="A17" s="8" t="s">
        <v>132</v>
      </c>
      <c r="B17" s="8" t="s">
        <v>46</v>
      </c>
      <c r="C17" s="8">
        <v>26</v>
      </c>
      <c r="D17" s="8" t="s">
        <v>121</v>
      </c>
      <c r="E17" s="8" t="s">
        <v>133</v>
      </c>
      <c r="F17" s="8">
        <v>2025</v>
      </c>
      <c r="G17" s="8">
        <v>38.44</v>
      </c>
      <c r="H17" s="8" t="s">
        <v>25</v>
      </c>
      <c r="I17" s="8"/>
      <c r="J17" s="8" t="s">
        <v>134</v>
      </c>
      <c r="K17" s="8" t="s">
        <v>50</v>
      </c>
      <c r="L17" s="8" t="s">
        <v>130</v>
      </c>
      <c r="M17" s="8" t="s">
        <v>78</v>
      </c>
      <c r="N17" s="8" t="s">
        <v>135</v>
      </c>
      <c r="O17" s="9" t="s">
        <v>510</v>
      </c>
      <c r="P17" s="9"/>
      <c r="Q17" s="9" t="s">
        <v>531</v>
      </c>
      <c r="R17" s="9" t="s">
        <v>27</v>
      </c>
    </row>
    <row r="18" spans="1:18" ht="150" customHeight="1" x14ac:dyDescent="0.45">
      <c r="A18" s="8" t="s">
        <v>136</v>
      </c>
      <c r="B18" s="8" t="s">
        <v>46</v>
      </c>
      <c r="C18" s="8">
        <v>27</v>
      </c>
      <c r="D18" s="8" t="s">
        <v>121</v>
      </c>
      <c r="E18" s="8" t="s">
        <v>137</v>
      </c>
      <c r="F18" s="8">
        <v>1749</v>
      </c>
      <c r="G18" s="8">
        <v>40.19</v>
      </c>
      <c r="H18" s="8" t="s">
        <v>23</v>
      </c>
      <c r="I18" s="8"/>
      <c r="J18" s="8" t="s">
        <v>138</v>
      </c>
      <c r="K18" s="8" t="s">
        <v>50</v>
      </c>
      <c r="L18" s="8" t="s">
        <v>139</v>
      </c>
      <c r="M18" s="8" t="s">
        <v>140</v>
      </c>
      <c r="N18" s="8" t="s">
        <v>141</v>
      </c>
      <c r="O18" s="9" t="s">
        <v>510</v>
      </c>
      <c r="P18" s="9"/>
      <c r="Q18" s="9" t="s">
        <v>532</v>
      </c>
      <c r="R18" s="9" t="s">
        <v>27</v>
      </c>
    </row>
    <row r="19" spans="1:18" ht="150" customHeight="1" x14ac:dyDescent="0.45">
      <c r="A19" s="8" t="s">
        <v>142</v>
      </c>
      <c r="B19" s="8" t="s">
        <v>46</v>
      </c>
      <c r="C19" s="8">
        <v>28</v>
      </c>
      <c r="D19" s="8" t="s">
        <v>121</v>
      </c>
      <c r="E19" s="8" t="s">
        <v>143</v>
      </c>
      <c r="F19" s="8">
        <v>6559</v>
      </c>
      <c r="G19" s="8">
        <v>10.84</v>
      </c>
      <c r="H19" s="8" t="s">
        <v>23</v>
      </c>
      <c r="I19" s="8"/>
      <c r="J19" s="8" t="s">
        <v>144</v>
      </c>
      <c r="K19" s="8" t="s">
        <v>58</v>
      </c>
      <c r="L19" s="8" t="s">
        <v>124</v>
      </c>
      <c r="M19" s="8" t="s">
        <v>145</v>
      </c>
      <c r="N19" s="8" t="s">
        <v>146</v>
      </c>
      <c r="O19" s="9" t="s">
        <v>510</v>
      </c>
      <c r="P19" s="9"/>
      <c r="Q19" s="9" t="s">
        <v>533</v>
      </c>
      <c r="R19" s="9" t="s">
        <v>27</v>
      </c>
    </row>
    <row r="20" spans="1:18" ht="150" customHeight="1" x14ac:dyDescent="0.45">
      <c r="A20" s="8" t="s">
        <v>147</v>
      </c>
      <c r="B20" s="8" t="s">
        <v>46</v>
      </c>
      <c r="C20" s="8">
        <v>29</v>
      </c>
      <c r="D20" s="8" t="s">
        <v>121</v>
      </c>
      <c r="E20" s="8" t="s">
        <v>148</v>
      </c>
      <c r="F20" s="8">
        <v>1742</v>
      </c>
      <c r="G20" s="8">
        <v>25.13</v>
      </c>
      <c r="H20" s="8" t="s">
        <v>23</v>
      </c>
      <c r="I20" s="8"/>
      <c r="J20" s="8" t="s">
        <v>149</v>
      </c>
      <c r="K20" s="8" t="s">
        <v>58</v>
      </c>
      <c r="L20" s="8" t="s">
        <v>130</v>
      </c>
      <c r="M20" s="8" t="s">
        <v>78</v>
      </c>
      <c r="N20" s="8" t="s">
        <v>150</v>
      </c>
      <c r="O20" s="9" t="s">
        <v>510</v>
      </c>
      <c r="P20" s="9"/>
      <c r="Q20" s="9" t="s">
        <v>534</v>
      </c>
      <c r="R20" s="9" t="s">
        <v>27</v>
      </c>
    </row>
    <row r="21" spans="1:18" ht="150" customHeight="1" x14ac:dyDescent="0.45">
      <c r="A21" s="10" t="s">
        <v>151</v>
      </c>
      <c r="B21" s="10" t="s">
        <v>46</v>
      </c>
      <c r="C21" s="10">
        <v>30</v>
      </c>
      <c r="D21" s="10" t="s">
        <v>121</v>
      </c>
      <c r="E21" s="10" t="s">
        <v>152</v>
      </c>
      <c r="F21" s="10">
        <v>2140</v>
      </c>
      <c r="G21" s="10">
        <v>13.07</v>
      </c>
      <c r="H21" s="10" t="s">
        <v>153</v>
      </c>
      <c r="I21" s="10" t="s">
        <v>56</v>
      </c>
      <c r="J21" s="10" t="s">
        <v>154</v>
      </c>
      <c r="K21" s="10" t="s">
        <v>50</v>
      </c>
      <c r="L21" s="10" t="s">
        <v>155</v>
      </c>
      <c r="M21" s="10" t="s">
        <v>156</v>
      </c>
      <c r="N21" s="10" t="s">
        <v>157</v>
      </c>
      <c r="O21" s="9" t="s">
        <v>510</v>
      </c>
      <c r="P21" s="9"/>
      <c r="Q21" s="9" t="s">
        <v>535</v>
      </c>
      <c r="R21" s="9" t="s">
        <v>27</v>
      </c>
    </row>
    <row r="22" spans="1:18" ht="150" customHeight="1" x14ac:dyDescent="0.45">
      <c r="A22" s="8" t="s">
        <v>158</v>
      </c>
      <c r="B22" s="8" t="s">
        <v>46</v>
      </c>
      <c r="C22" s="8">
        <v>31</v>
      </c>
      <c r="D22" s="8" t="s">
        <v>121</v>
      </c>
      <c r="E22" s="8" t="s">
        <v>159</v>
      </c>
      <c r="F22" s="8">
        <v>2933</v>
      </c>
      <c r="G22" s="8">
        <v>8.36</v>
      </c>
      <c r="H22" s="8" t="s">
        <v>23</v>
      </c>
      <c r="I22" s="8"/>
      <c r="J22" s="8" t="s">
        <v>160</v>
      </c>
      <c r="K22" s="8" t="s">
        <v>58</v>
      </c>
      <c r="L22" s="8" t="s">
        <v>161</v>
      </c>
      <c r="M22" s="8" t="s">
        <v>162</v>
      </c>
      <c r="N22" s="8" t="s">
        <v>163</v>
      </c>
      <c r="O22" s="9" t="s">
        <v>510</v>
      </c>
      <c r="P22" s="9"/>
      <c r="Q22" s="9" t="s">
        <v>536</v>
      </c>
      <c r="R22" s="9" t="s">
        <v>27</v>
      </c>
    </row>
    <row r="23" spans="1:18" ht="150" customHeight="1" x14ac:dyDescent="0.45">
      <c r="A23" s="8" t="s">
        <v>164</v>
      </c>
      <c r="B23" s="8" t="s">
        <v>46</v>
      </c>
      <c r="C23" s="8">
        <v>32</v>
      </c>
      <c r="D23" s="8" t="s">
        <v>121</v>
      </c>
      <c r="E23" s="8" t="s">
        <v>165</v>
      </c>
      <c r="F23" s="8">
        <v>2399</v>
      </c>
      <c r="G23" s="8">
        <v>9.86</v>
      </c>
      <c r="H23" s="8" t="s">
        <v>23</v>
      </c>
      <c r="I23" s="8"/>
      <c r="J23" s="8" t="s">
        <v>166</v>
      </c>
      <c r="K23" s="8" t="s">
        <v>58</v>
      </c>
      <c r="L23" s="8" t="s">
        <v>167</v>
      </c>
      <c r="M23" s="8" t="s">
        <v>168</v>
      </c>
      <c r="N23" s="8" t="s">
        <v>169</v>
      </c>
      <c r="O23" s="9" t="s">
        <v>510</v>
      </c>
      <c r="P23" s="9"/>
      <c r="Q23" s="9" t="s">
        <v>537</v>
      </c>
      <c r="R23" s="9" t="s">
        <v>27</v>
      </c>
    </row>
    <row r="24" spans="1:18" ht="150" customHeight="1" x14ac:dyDescent="0.45">
      <c r="A24" s="8" t="s">
        <v>170</v>
      </c>
      <c r="B24" s="8" t="s">
        <v>46</v>
      </c>
      <c r="C24" s="8">
        <v>33</v>
      </c>
      <c r="D24" s="8" t="s">
        <v>121</v>
      </c>
      <c r="E24" s="8" t="s">
        <v>171</v>
      </c>
      <c r="F24" s="8">
        <v>1686</v>
      </c>
      <c r="G24" s="8">
        <v>10.84</v>
      </c>
      <c r="H24" s="8" t="s">
        <v>23</v>
      </c>
      <c r="I24" s="8"/>
      <c r="J24" s="8" t="s">
        <v>172</v>
      </c>
      <c r="K24" s="8" t="s">
        <v>58</v>
      </c>
      <c r="L24" s="8" t="s">
        <v>130</v>
      </c>
      <c r="M24" s="8" t="s">
        <v>78</v>
      </c>
      <c r="N24" s="8" t="s">
        <v>173</v>
      </c>
      <c r="O24" s="9" t="s">
        <v>510</v>
      </c>
      <c r="P24" s="9"/>
      <c r="Q24" s="9" t="s">
        <v>538</v>
      </c>
      <c r="R24" s="9" t="s">
        <v>27</v>
      </c>
    </row>
    <row r="25" spans="1:18" ht="150" customHeight="1" x14ac:dyDescent="0.45">
      <c r="A25" s="10" t="s">
        <v>174</v>
      </c>
      <c r="B25" s="10" t="s">
        <v>46</v>
      </c>
      <c r="C25" s="10">
        <v>34</v>
      </c>
      <c r="D25" s="10" t="s">
        <v>121</v>
      </c>
      <c r="E25" s="10" t="s">
        <v>175</v>
      </c>
      <c r="F25" s="10">
        <v>1213</v>
      </c>
      <c r="G25" s="10">
        <v>13.37</v>
      </c>
      <c r="H25" s="10" t="s">
        <v>153</v>
      </c>
      <c r="I25" s="10" t="s">
        <v>56</v>
      </c>
      <c r="J25" s="10" t="s">
        <v>154</v>
      </c>
      <c r="K25" s="10" t="s">
        <v>50</v>
      </c>
      <c r="L25" s="10" t="s">
        <v>130</v>
      </c>
      <c r="M25" s="10" t="s">
        <v>78</v>
      </c>
      <c r="N25" s="10" t="s">
        <v>157</v>
      </c>
      <c r="O25" s="9" t="s">
        <v>510</v>
      </c>
      <c r="P25" s="9"/>
      <c r="Q25" s="9" t="s">
        <v>535</v>
      </c>
      <c r="R25" s="9" t="s">
        <v>27</v>
      </c>
    </row>
    <row r="26" spans="1:18" ht="150" customHeight="1" x14ac:dyDescent="0.45">
      <c r="A26" s="8" t="s">
        <v>176</v>
      </c>
      <c r="B26" s="8" t="s">
        <v>46</v>
      </c>
      <c r="C26" s="8">
        <v>35</v>
      </c>
      <c r="D26" s="8" t="s">
        <v>121</v>
      </c>
      <c r="E26" s="8" t="s">
        <v>177</v>
      </c>
      <c r="F26" s="8">
        <v>1213</v>
      </c>
      <c r="G26" s="8">
        <v>8.3699999999999992</v>
      </c>
      <c r="H26" s="8" t="s">
        <v>153</v>
      </c>
      <c r="I26" s="8"/>
      <c r="J26" s="8" t="s">
        <v>178</v>
      </c>
      <c r="K26" s="8" t="s">
        <v>50</v>
      </c>
      <c r="L26" s="8" t="s">
        <v>130</v>
      </c>
      <c r="M26" s="8" t="s">
        <v>78</v>
      </c>
      <c r="N26" s="8" t="s">
        <v>179</v>
      </c>
      <c r="O26" s="9" t="s">
        <v>510</v>
      </c>
      <c r="P26" s="9"/>
      <c r="Q26" s="9" t="s">
        <v>539</v>
      </c>
      <c r="R26" s="9" t="s">
        <v>27</v>
      </c>
    </row>
    <row r="27" spans="1:18" ht="150" customHeight="1" x14ac:dyDescent="0.45">
      <c r="A27" s="8" t="s">
        <v>180</v>
      </c>
      <c r="B27" s="8" t="s">
        <v>46</v>
      </c>
      <c r="C27" s="8">
        <v>36</v>
      </c>
      <c r="D27" s="8" t="s">
        <v>121</v>
      </c>
      <c r="E27" s="8" t="s">
        <v>181</v>
      </c>
      <c r="F27" s="8">
        <v>1561</v>
      </c>
      <c r="G27" s="8">
        <v>6.51</v>
      </c>
      <c r="H27" s="8" t="s">
        <v>153</v>
      </c>
      <c r="I27" s="8"/>
      <c r="J27" s="8" t="s">
        <v>182</v>
      </c>
      <c r="K27" s="8" t="s">
        <v>50</v>
      </c>
      <c r="L27" s="8" t="s">
        <v>130</v>
      </c>
      <c r="M27" s="8" t="s">
        <v>78</v>
      </c>
      <c r="N27" s="8" t="s">
        <v>183</v>
      </c>
      <c r="O27" s="9" t="s">
        <v>510</v>
      </c>
      <c r="P27" s="9"/>
      <c r="Q27" s="9" t="s">
        <v>540</v>
      </c>
      <c r="R27" s="9" t="s">
        <v>27</v>
      </c>
    </row>
    <row r="28" spans="1:18" ht="150" customHeight="1" x14ac:dyDescent="0.45">
      <c r="A28" s="8" t="s">
        <v>184</v>
      </c>
      <c r="B28" s="8" t="s">
        <v>46</v>
      </c>
      <c r="C28" s="8">
        <v>38</v>
      </c>
      <c r="D28" s="8" t="s">
        <v>121</v>
      </c>
      <c r="E28" s="8" t="s">
        <v>185</v>
      </c>
      <c r="F28" s="8">
        <v>793</v>
      </c>
      <c r="G28" s="8">
        <v>9.35</v>
      </c>
      <c r="H28" s="8" t="s">
        <v>23</v>
      </c>
      <c r="I28" s="8"/>
      <c r="J28" s="8" t="s">
        <v>186</v>
      </c>
      <c r="K28" s="8" t="s">
        <v>58</v>
      </c>
      <c r="L28" s="8" t="s">
        <v>130</v>
      </c>
      <c r="M28" s="8" t="s">
        <v>78</v>
      </c>
      <c r="N28" s="8" t="s">
        <v>150</v>
      </c>
      <c r="O28" s="9" t="s">
        <v>510</v>
      </c>
      <c r="P28" s="9"/>
      <c r="Q28" s="9" t="s">
        <v>541</v>
      </c>
      <c r="R28" s="9" t="s">
        <v>27</v>
      </c>
    </row>
    <row r="29" spans="1:18" ht="150" customHeight="1" x14ac:dyDescent="0.45">
      <c r="A29" s="8" t="s">
        <v>187</v>
      </c>
      <c r="B29" s="8" t="s">
        <v>46</v>
      </c>
      <c r="C29" s="8">
        <v>39</v>
      </c>
      <c r="D29" s="8" t="s">
        <v>121</v>
      </c>
      <c r="E29" s="8" t="s">
        <v>188</v>
      </c>
      <c r="F29" s="8">
        <v>1221</v>
      </c>
      <c r="G29" s="8">
        <v>6.07</v>
      </c>
      <c r="H29" s="8" t="s">
        <v>23</v>
      </c>
      <c r="I29" s="8"/>
      <c r="J29" s="8" t="s">
        <v>189</v>
      </c>
      <c r="K29" s="8" t="s">
        <v>58</v>
      </c>
      <c r="L29" s="8" t="s">
        <v>190</v>
      </c>
      <c r="M29" s="8" t="s">
        <v>191</v>
      </c>
      <c r="N29" s="8" t="s">
        <v>192</v>
      </c>
      <c r="O29" s="9" t="s">
        <v>510</v>
      </c>
      <c r="P29" s="9"/>
      <c r="Q29" s="9" t="s">
        <v>542</v>
      </c>
      <c r="R29" s="9" t="s">
        <v>27</v>
      </c>
    </row>
    <row r="30" spans="1:18" ht="150" customHeight="1" x14ac:dyDescent="0.45">
      <c r="A30" s="8" t="s">
        <v>193</v>
      </c>
      <c r="B30" s="8" t="s">
        <v>46</v>
      </c>
      <c r="C30" s="8">
        <v>40</v>
      </c>
      <c r="D30" s="8" t="s">
        <v>121</v>
      </c>
      <c r="E30" s="8" t="s">
        <v>194</v>
      </c>
      <c r="F30" s="8">
        <v>877</v>
      </c>
      <c r="G30" s="8">
        <v>7.62</v>
      </c>
      <c r="H30" s="8" t="s">
        <v>23</v>
      </c>
      <c r="I30" s="8"/>
      <c r="J30" s="8" t="s">
        <v>195</v>
      </c>
      <c r="K30" s="8" t="s">
        <v>58</v>
      </c>
      <c r="L30" s="8" t="s">
        <v>130</v>
      </c>
      <c r="M30" s="8" t="s">
        <v>78</v>
      </c>
      <c r="N30" s="8" t="s">
        <v>196</v>
      </c>
      <c r="O30" s="9" t="s">
        <v>510</v>
      </c>
      <c r="P30" s="9"/>
      <c r="Q30" s="9" t="s">
        <v>543</v>
      </c>
      <c r="R30" s="9" t="s">
        <v>27</v>
      </c>
    </row>
    <row r="31" spans="1:18" ht="150" customHeight="1" x14ac:dyDescent="0.45">
      <c r="A31" s="8" t="s">
        <v>197</v>
      </c>
      <c r="B31" s="8" t="s">
        <v>46</v>
      </c>
      <c r="C31" s="8">
        <v>41</v>
      </c>
      <c r="D31" s="8" t="s">
        <v>198</v>
      </c>
      <c r="E31" s="8" t="s">
        <v>199</v>
      </c>
      <c r="F31" s="8">
        <v>21519</v>
      </c>
      <c r="G31" s="8">
        <v>86.95</v>
      </c>
      <c r="H31" s="8" t="s">
        <v>23</v>
      </c>
      <c r="I31" s="8"/>
      <c r="J31" s="8" t="s">
        <v>200</v>
      </c>
      <c r="K31" s="8" t="s">
        <v>58</v>
      </c>
      <c r="L31" s="8" t="s">
        <v>201</v>
      </c>
      <c r="M31" s="8" t="s">
        <v>202</v>
      </c>
      <c r="N31" s="8" t="s">
        <v>203</v>
      </c>
      <c r="O31" s="9" t="s">
        <v>510</v>
      </c>
      <c r="P31" s="9"/>
      <c r="Q31" s="9" t="s">
        <v>544</v>
      </c>
      <c r="R31" s="9" t="s">
        <v>27</v>
      </c>
    </row>
    <row r="32" spans="1:18" ht="150" customHeight="1" x14ac:dyDescent="0.45">
      <c r="A32" s="10" t="s">
        <v>204</v>
      </c>
      <c r="B32" s="10" t="s">
        <v>46</v>
      </c>
      <c r="C32" s="10">
        <v>42</v>
      </c>
      <c r="D32" s="10" t="s">
        <v>198</v>
      </c>
      <c r="E32" s="10" t="s">
        <v>205</v>
      </c>
      <c r="F32" s="10">
        <v>29681</v>
      </c>
      <c r="G32" s="10">
        <v>7.75</v>
      </c>
      <c r="H32" s="10" t="s">
        <v>82</v>
      </c>
      <c r="I32" s="10" t="s">
        <v>56</v>
      </c>
      <c r="J32" s="10" t="s">
        <v>206</v>
      </c>
      <c r="K32" s="10" t="s">
        <v>50</v>
      </c>
      <c r="L32" s="10" t="s">
        <v>207</v>
      </c>
      <c r="M32" s="10" t="s">
        <v>78</v>
      </c>
      <c r="N32" s="10" t="s">
        <v>208</v>
      </c>
      <c r="O32" s="9" t="s">
        <v>510</v>
      </c>
      <c r="P32" s="9"/>
      <c r="Q32" s="9" t="s">
        <v>545</v>
      </c>
      <c r="R32" s="9" t="s">
        <v>27</v>
      </c>
    </row>
    <row r="33" spans="1:18" ht="150" customHeight="1" x14ac:dyDescent="0.45">
      <c r="A33" s="10" t="s">
        <v>209</v>
      </c>
      <c r="B33" s="10" t="s">
        <v>46</v>
      </c>
      <c r="C33" s="10">
        <v>44</v>
      </c>
      <c r="D33" s="10" t="s">
        <v>198</v>
      </c>
      <c r="E33" s="10" t="s">
        <v>210</v>
      </c>
      <c r="F33" s="10">
        <v>10203</v>
      </c>
      <c r="G33" s="10">
        <v>11.1</v>
      </c>
      <c r="H33" s="10" t="s">
        <v>23</v>
      </c>
      <c r="I33" s="10" t="s">
        <v>56</v>
      </c>
      <c r="J33" s="10" t="s">
        <v>211</v>
      </c>
      <c r="K33" s="10" t="s">
        <v>212</v>
      </c>
      <c r="L33" s="10" t="s">
        <v>213</v>
      </c>
      <c r="M33" s="10" t="s">
        <v>214</v>
      </c>
      <c r="N33" s="10" t="s">
        <v>215</v>
      </c>
      <c r="O33" s="9" t="s">
        <v>510</v>
      </c>
      <c r="P33" s="9"/>
      <c r="Q33" s="9" t="s">
        <v>546</v>
      </c>
      <c r="R33" s="9" t="s">
        <v>27</v>
      </c>
    </row>
    <row r="34" spans="1:18" ht="150" customHeight="1" x14ac:dyDescent="0.45">
      <c r="A34" s="10" t="s">
        <v>216</v>
      </c>
      <c r="B34" s="10" t="s">
        <v>46</v>
      </c>
      <c r="C34" s="10">
        <v>45</v>
      </c>
      <c r="D34" s="10" t="s">
        <v>198</v>
      </c>
      <c r="E34" s="10" t="s">
        <v>217</v>
      </c>
      <c r="F34" s="10">
        <v>7600</v>
      </c>
      <c r="G34" s="10">
        <v>13.19</v>
      </c>
      <c r="H34" s="10" t="s">
        <v>23</v>
      </c>
      <c r="I34" s="10" t="s">
        <v>218</v>
      </c>
      <c r="J34" s="10" t="s">
        <v>219</v>
      </c>
      <c r="K34" s="10" t="s">
        <v>50</v>
      </c>
      <c r="L34" s="10" t="s">
        <v>220</v>
      </c>
      <c r="M34" s="10" t="s">
        <v>221</v>
      </c>
      <c r="N34" s="10" t="s">
        <v>222</v>
      </c>
      <c r="O34" s="9" t="s">
        <v>24</v>
      </c>
      <c r="P34" s="9" t="s">
        <v>25</v>
      </c>
      <c r="Q34" s="9" t="s">
        <v>547</v>
      </c>
      <c r="R34" s="9" t="s">
        <v>27</v>
      </c>
    </row>
    <row r="35" spans="1:18" ht="150" customHeight="1" x14ac:dyDescent="0.45">
      <c r="A35" s="10" t="s">
        <v>223</v>
      </c>
      <c r="B35" s="10" t="s">
        <v>46</v>
      </c>
      <c r="C35" s="10">
        <v>46</v>
      </c>
      <c r="D35" s="10" t="s">
        <v>198</v>
      </c>
      <c r="E35" s="10" t="s">
        <v>224</v>
      </c>
      <c r="F35" s="10">
        <v>6321</v>
      </c>
      <c r="G35" s="10">
        <v>13.98</v>
      </c>
      <c r="H35" s="10" t="s">
        <v>82</v>
      </c>
      <c r="I35" s="10" t="s">
        <v>56</v>
      </c>
      <c r="J35" s="10" t="s">
        <v>225</v>
      </c>
      <c r="K35" s="10" t="s">
        <v>50</v>
      </c>
      <c r="L35" s="10" t="s">
        <v>207</v>
      </c>
      <c r="M35" s="10" t="s">
        <v>78</v>
      </c>
      <c r="N35" s="10" t="s">
        <v>226</v>
      </c>
      <c r="O35" s="9" t="s">
        <v>510</v>
      </c>
      <c r="P35" s="9"/>
      <c r="Q35" s="9" t="s">
        <v>548</v>
      </c>
      <c r="R35" s="9" t="s">
        <v>27</v>
      </c>
    </row>
    <row r="36" spans="1:18" ht="150" customHeight="1" x14ac:dyDescent="0.45">
      <c r="A36" s="8" t="s">
        <v>227</v>
      </c>
      <c r="B36" s="8" t="s">
        <v>46</v>
      </c>
      <c r="C36" s="8">
        <v>47</v>
      </c>
      <c r="D36" s="8" t="s">
        <v>198</v>
      </c>
      <c r="E36" s="8" t="s">
        <v>228</v>
      </c>
      <c r="F36" s="8">
        <v>5542</v>
      </c>
      <c r="G36" s="8">
        <v>12.55</v>
      </c>
      <c r="H36" s="8" t="s">
        <v>82</v>
      </c>
      <c r="I36" s="8"/>
      <c r="J36" s="8" t="s">
        <v>229</v>
      </c>
      <c r="K36" s="8" t="s">
        <v>50</v>
      </c>
      <c r="L36" s="8" t="s">
        <v>230</v>
      </c>
      <c r="M36" s="8" t="s">
        <v>231</v>
      </c>
      <c r="N36" s="8" t="s">
        <v>232</v>
      </c>
      <c r="O36" s="9" t="s">
        <v>510</v>
      </c>
      <c r="P36" s="9"/>
      <c r="Q36" s="9" t="s">
        <v>549</v>
      </c>
      <c r="R36" s="9" t="s">
        <v>27</v>
      </c>
    </row>
    <row r="37" spans="1:18" ht="150" customHeight="1" x14ac:dyDescent="0.45">
      <c r="A37" s="8" t="s">
        <v>233</v>
      </c>
      <c r="B37" s="8" t="s">
        <v>46</v>
      </c>
      <c r="C37" s="8">
        <v>48</v>
      </c>
      <c r="D37" s="8" t="s">
        <v>198</v>
      </c>
      <c r="E37" s="8" t="s">
        <v>234</v>
      </c>
      <c r="F37" s="8">
        <v>4514</v>
      </c>
      <c r="G37" s="8">
        <v>14.28</v>
      </c>
      <c r="H37" s="8" t="s">
        <v>82</v>
      </c>
      <c r="I37" s="8"/>
      <c r="J37" s="8" t="s">
        <v>235</v>
      </c>
      <c r="K37" s="8" t="s">
        <v>50</v>
      </c>
      <c r="L37" s="8" t="s">
        <v>207</v>
      </c>
      <c r="M37" s="8" t="s">
        <v>78</v>
      </c>
      <c r="N37" s="8" t="s">
        <v>236</v>
      </c>
      <c r="O37" s="9" t="s">
        <v>510</v>
      </c>
      <c r="P37" s="9"/>
      <c r="Q37" s="9" t="s">
        <v>550</v>
      </c>
      <c r="R37" s="9" t="s">
        <v>27</v>
      </c>
    </row>
    <row r="38" spans="1:18" ht="150" customHeight="1" x14ac:dyDescent="0.45">
      <c r="A38" s="10" t="s">
        <v>237</v>
      </c>
      <c r="B38" s="10" t="s">
        <v>46</v>
      </c>
      <c r="C38" s="10">
        <v>49</v>
      </c>
      <c r="D38" s="10" t="s">
        <v>198</v>
      </c>
      <c r="E38" s="10" t="s">
        <v>238</v>
      </c>
      <c r="F38" s="10">
        <v>7318</v>
      </c>
      <c r="G38" s="10">
        <v>7.46</v>
      </c>
      <c r="H38" s="10" t="s">
        <v>23</v>
      </c>
      <c r="I38" s="10" t="s">
        <v>56</v>
      </c>
      <c r="J38" s="10" t="s">
        <v>239</v>
      </c>
      <c r="K38" s="10" t="s">
        <v>50</v>
      </c>
      <c r="L38" s="10" t="s">
        <v>240</v>
      </c>
      <c r="M38" s="10" t="s">
        <v>241</v>
      </c>
      <c r="N38" s="10" t="s">
        <v>242</v>
      </c>
      <c r="O38" s="9" t="s">
        <v>510</v>
      </c>
      <c r="P38" s="9"/>
      <c r="Q38" s="9" t="s">
        <v>551</v>
      </c>
      <c r="R38" s="9" t="s">
        <v>27</v>
      </c>
    </row>
    <row r="39" spans="1:18" ht="150" customHeight="1" x14ac:dyDescent="0.45">
      <c r="A39" s="10" t="s">
        <v>243</v>
      </c>
      <c r="B39" s="10" t="s">
        <v>46</v>
      </c>
      <c r="C39" s="10">
        <v>52</v>
      </c>
      <c r="D39" s="10" t="s">
        <v>198</v>
      </c>
      <c r="E39" s="10" t="s">
        <v>244</v>
      </c>
      <c r="F39" s="10">
        <v>5247</v>
      </c>
      <c r="G39" s="10">
        <v>7.03</v>
      </c>
      <c r="H39" s="10" t="s">
        <v>82</v>
      </c>
      <c r="I39" s="10" t="s">
        <v>56</v>
      </c>
      <c r="J39" s="10" t="s">
        <v>235</v>
      </c>
      <c r="K39" s="10" t="s">
        <v>50</v>
      </c>
      <c r="L39" s="10" t="s">
        <v>245</v>
      </c>
      <c r="M39" s="10" t="s">
        <v>246</v>
      </c>
      <c r="N39" s="10" t="s">
        <v>208</v>
      </c>
      <c r="O39" s="9" t="s">
        <v>510</v>
      </c>
      <c r="P39" s="9"/>
      <c r="Q39" s="9" t="s">
        <v>552</v>
      </c>
      <c r="R39" s="9" t="s">
        <v>27</v>
      </c>
    </row>
    <row r="40" spans="1:18" ht="150" customHeight="1" x14ac:dyDescent="0.45">
      <c r="A40" s="8" t="s">
        <v>247</v>
      </c>
      <c r="B40" s="8" t="s">
        <v>46</v>
      </c>
      <c r="C40" s="8">
        <v>53</v>
      </c>
      <c r="D40" s="8" t="s">
        <v>198</v>
      </c>
      <c r="E40" s="8" t="s">
        <v>248</v>
      </c>
      <c r="F40" s="8">
        <v>30983</v>
      </c>
      <c r="G40" s="8">
        <v>2.11</v>
      </c>
      <c r="H40" s="8" t="s">
        <v>23</v>
      </c>
      <c r="I40" s="8"/>
      <c r="J40" s="8" t="s">
        <v>249</v>
      </c>
      <c r="K40" s="8" t="s">
        <v>58</v>
      </c>
      <c r="L40" s="8" t="s">
        <v>250</v>
      </c>
      <c r="M40" s="8" t="s">
        <v>251</v>
      </c>
      <c r="N40" s="8" t="s">
        <v>252</v>
      </c>
      <c r="O40" s="9" t="s">
        <v>510</v>
      </c>
      <c r="P40" s="9"/>
      <c r="Q40" s="9" t="s">
        <v>553</v>
      </c>
      <c r="R40" s="9" t="s">
        <v>27</v>
      </c>
    </row>
    <row r="41" spans="1:18" ht="150" customHeight="1" x14ac:dyDescent="0.45">
      <c r="A41" s="8" t="s">
        <v>253</v>
      </c>
      <c r="B41" s="8" t="s">
        <v>46</v>
      </c>
      <c r="C41" s="8">
        <v>54</v>
      </c>
      <c r="D41" s="8" t="s">
        <v>198</v>
      </c>
      <c r="E41" s="8" t="s">
        <v>254</v>
      </c>
      <c r="F41" s="8">
        <v>7163</v>
      </c>
      <c r="G41" s="8">
        <v>4.3</v>
      </c>
      <c r="H41" s="8" t="s">
        <v>82</v>
      </c>
      <c r="I41" s="8"/>
      <c r="J41" s="8" t="s">
        <v>235</v>
      </c>
      <c r="K41" s="8" t="s">
        <v>50</v>
      </c>
      <c r="L41" s="8" t="s">
        <v>255</v>
      </c>
      <c r="M41" s="8" t="s">
        <v>256</v>
      </c>
      <c r="N41" s="8" t="s">
        <v>257</v>
      </c>
      <c r="O41" s="9" t="s">
        <v>510</v>
      </c>
      <c r="P41" s="9"/>
      <c r="Q41" s="9" t="s">
        <v>554</v>
      </c>
      <c r="R41" s="9" t="s">
        <v>27</v>
      </c>
    </row>
    <row r="42" spans="1:18" ht="150" customHeight="1" x14ac:dyDescent="0.45">
      <c r="A42" s="10" t="s">
        <v>258</v>
      </c>
      <c r="B42" s="10" t="s">
        <v>46</v>
      </c>
      <c r="C42" s="10">
        <v>55</v>
      </c>
      <c r="D42" s="10" t="s">
        <v>198</v>
      </c>
      <c r="E42" s="10" t="s">
        <v>259</v>
      </c>
      <c r="F42" s="10">
        <v>2976</v>
      </c>
      <c r="G42" s="10">
        <v>7.98</v>
      </c>
      <c r="H42" s="10" t="s">
        <v>82</v>
      </c>
      <c r="I42" s="10" t="s">
        <v>56</v>
      </c>
      <c r="J42" s="10" t="s">
        <v>225</v>
      </c>
      <c r="K42" s="10" t="s">
        <v>50</v>
      </c>
      <c r="L42" s="10" t="s">
        <v>207</v>
      </c>
      <c r="M42" s="10" t="s">
        <v>78</v>
      </c>
      <c r="N42" s="10" t="s">
        <v>260</v>
      </c>
      <c r="O42" s="9" t="s">
        <v>510</v>
      </c>
      <c r="P42" s="9"/>
      <c r="Q42" s="9" t="s">
        <v>555</v>
      </c>
      <c r="R42" s="9" t="s">
        <v>27</v>
      </c>
    </row>
    <row r="43" spans="1:18" ht="150" customHeight="1" x14ac:dyDescent="0.45">
      <c r="A43" s="10" t="s">
        <v>261</v>
      </c>
      <c r="B43" s="10" t="s">
        <v>46</v>
      </c>
      <c r="C43" s="10">
        <v>56</v>
      </c>
      <c r="D43" s="10" t="s">
        <v>198</v>
      </c>
      <c r="E43" s="10" t="s">
        <v>262</v>
      </c>
      <c r="F43" s="10">
        <v>2001</v>
      </c>
      <c r="G43" s="10">
        <v>9.27</v>
      </c>
      <c r="H43" s="10" t="s">
        <v>82</v>
      </c>
      <c r="I43" s="10" t="s">
        <v>56</v>
      </c>
      <c r="J43" s="10" t="s">
        <v>225</v>
      </c>
      <c r="K43" s="10" t="s">
        <v>50</v>
      </c>
      <c r="L43" s="10" t="s">
        <v>207</v>
      </c>
      <c r="M43" s="10" t="s">
        <v>78</v>
      </c>
      <c r="N43" s="10" t="s">
        <v>260</v>
      </c>
      <c r="O43" s="9" t="s">
        <v>510</v>
      </c>
      <c r="P43" s="9"/>
      <c r="Q43" s="9" t="s">
        <v>556</v>
      </c>
      <c r="R43" s="9" t="s">
        <v>27</v>
      </c>
    </row>
    <row r="44" spans="1:18" ht="150" customHeight="1" x14ac:dyDescent="0.45">
      <c r="A44" s="8" t="s">
        <v>263</v>
      </c>
      <c r="B44" s="8" t="s">
        <v>46</v>
      </c>
      <c r="C44" s="8">
        <v>57</v>
      </c>
      <c r="D44" s="8" t="s">
        <v>198</v>
      </c>
      <c r="E44" s="8" t="s">
        <v>264</v>
      </c>
      <c r="F44" s="8">
        <v>13056</v>
      </c>
      <c r="G44" s="8">
        <v>2.4900000000000002</v>
      </c>
      <c r="H44" s="8" t="s">
        <v>25</v>
      </c>
      <c r="I44" s="8"/>
      <c r="J44" s="8" t="s">
        <v>265</v>
      </c>
      <c r="K44" s="8" t="s">
        <v>50</v>
      </c>
      <c r="L44" s="8" t="s">
        <v>207</v>
      </c>
      <c r="M44" s="8" t="s">
        <v>78</v>
      </c>
      <c r="N44" s="8" t="s">
        <v>266</v>
      </c>
      <c r="O44" s="9" t="s">
        <v>510</v>
      </c>
      <c r="P44" s="9"/>
      <c r="Q44" s="9" t="s">
        <v>557</v>
      </c>
      <c r="R44" s="9" t="s">
        <v>27</v>
      </c>
    </row>
    <row r="45" spans="1:18" ht="150" customHeight="1" x14ac:dyDescent="0.45">
      <c r="A45" s="8" t="s">
        <v>267</v>
      </c>
      <c r="B45" s="8" t="s">
        <v>46</v>
      </c>
      <c r="C45" s="8">
        <v>58</v>
      </c>
      <c r="D45" s="8" t="s">
        <v>198</v>
      </c>
      <c r="E45" s="8" t="s">
        <v>268</v>
      </c>
      <c r="F45" s="8">
        <v>21609</v>
      </c>
      <c r="G45" s="8">
        <v>2.0099999999999998</v>
      </c>
      <c r="H45" s="8" t="s">
        <v>23</v>
      </c>
      <c r="I45" s="8"/>
      <c r="J45" s="8" t="s">
        <v>269</v>
      </c>
      <c r="K45" s="8" t="s">
        <v>58</v>
      </c>
      <c r="L45" s="8" t="s">
        <v>250</v>
      </c>
      <c r="M45" s="8" t="s">
        <v>270</v>
      </c>
      <c r="N45" s="8" t="s">
        <v>271</v>
      </c>
      <c r="O45" s="9" t="s">
        <v>510</v>
      </c>
      <c r="P45" s="9"/>
      <c r="Q45" s="9" t="s">
        <v>558</v>
      </c>
      <c r="R45" s="9" t="s">
        <v>27</v>
      </c>
    </row>
    <row r="46" spans="1:18" ht="150" customHeight="1" x14ac:dyDescent="0.45">
      <c r="A46" s="8" t="s">
        <v>272</v>
      </c>
      <c r="B46" s="8" t="s">
        <v>46</v>
      </c>
      <c r="C46" s="8">
        <v>61</v>
      </c>
      <c r="D46" s="8" t="s">
        <v>273</v>
      </c>
      <c r="E46" s="8" t="s">
        <v>274</v>
      </c>
      <c r="F46" s="8">
        <v>18915</v>
      </c>
      <c r="G46" s="8">
        <v>23.94</v>
      </c>
      <c r="H46" s="8" t="s">
        <v>82</v>
      </c>
      <c r="I46" s="8"/>
      <c r="J46" s="8" t="s">
        <v>275</v>
      </c>
      <c r="K46" s="8" t="s">
        <v>58</v>
      </c>
      <c r="L46" s="8" t="s">
        <v>276</v>
      </c>
      <c r="M46" s="8" t="s">
        <v>277</v>
      </c>
      <c r="N46" s="8" t="s">
        <v>278</v>
      </c>
      <c r="O46" s="9" t="s">
        <v>510</v>
      </c>
      <c r="P46" s="9"/>
      <c r="Q46" s="9" t="s">
        <v>559</v>
      </c>
      <c r="R46" s="9" t="s">
        <v>27</v>
      </c>
    </row>
    <row r="47" spans="1:18" ht="150" customHeight="1" x14ac:dyDescent="0.45">
      <c r="A47" s="8" t="s">
        <v>279</v>
      </c>
      <c r="B47" s="8" t="s">
        <v>46</v>
      </c>
      <c r="C47" s="8">
        <v>62</v>
      </c>
      <c r="D47" s="8" t="s">
        <v>273</v>
      </c>
      <c r="E47" s="8" t="s">
        <v>280</v>
      </c>
      <c r="F47" s="8">
        <v>9186</v>
      </c>
      <c r="G47" s="8">
        <v>21.67</v>
      </c>
      <c r="H47" s="8" t="s">
        <v>82</v>
      </c>
      <c r="I47" s="8"/>
      <c r="J47" s="8" t="s">
        <v>281</v>
      </c>
      <c r="K47" s="8" t="s">
        <v>50</v>
      </c>
      <c r="L47" s="8" t="s">
        <v>130</v>
      </c>
      <c r="M47" s="8" t="s">
        <v>78</v>
      </c>
      <c r="N47" s="8" t="s">
        <v>266</v>
      </c>
      <c r="O47" s="9" t="s">
        <v>511</v>
      </c>
      <c r="P47" s="9"/>
      <c r="Q47" s="9" t="s">
        <v>560</v>
      </c>
      <c r="R47" s="9" t="s">
        <v>27</v>
      </c>
    </row>
    <row r="48" spans="1:18" ht="150" customHeight="1" x14ac:dyDescent="0.45">
      <c r="A48" s="8" t="s">
        <v>282</v>
      </c>
      <c r="B48" s="8" t="s">
        <v>46</v>
      </c>
      <c r="C48" s="8">
        <v>63</v>
      </c>
      <c r="D48" s="8" t="s">
        <v>273</v>
      </c>
      <c r="E48" s="8" t="s">
        <v>283</v>
      </c>
      <c r="F48" s="8">
        <v>2766</v>
      </c>
      <c r="G48" s="8">
        <v>38.92</v>
      </c>
      <c r="H48" s="8" t="s">
        <v>82</v>
      </c>
      <c r="I48" s="8"/>
      <c r="J48" s="8" t="s">
        <v>284</v>
      </c>
      <c r="K48" s="8" t="s">
        <v>50</v>
      </c>
      <c r="L48" s="8" t="s">
        <v>130</v>
      </c>
      <c r="M48" s="8" t="s">
        <v>78</v>
      </c>
      <c r="N48" s="8" t="s">
        <v>285</v>
      </c>
      <c r="O48" s="9" t="s">
        <v>510</v>
      </c>
      <c r="P48" s="9"/>
      <c r="Q48" s="9" t="s">
        <v>561</v>
      </c>
      <c r="R48" s="9" t="s">
        <v>27</v>
      </c>
    </row>
    <row r="49" spans="1:18" ht="150" customHeight="1" x14ac:dyDescent="0.45">
      <c r="A49" s="8" t="s">
        <v>286</v>
      </c>
      <c r="B49" s="8" t="s">
        <v>46</v>
      </c>
      <c r="C49" s="8">
        <v>64</v>
      </c>
      <c r="D49" s="8" t="s">
        <v>273</v>
      </c>
      <c r="E49" s="8" t="s">
        <v>287</v>
      </c>
      <c r="F49" s="8">
        <v>19559</v>
      </c>
      <c r="G49" s="8">
        <v>4.21</v>
      </c>
      <c r="H49" s="8" t="s">
        <v>82</v>
      </c>
      <c r="I49" s="8"/>
      <c r="J49" s="8" t="s">
        <v>288</v>
      </c>
      <c r="K49" s="8" t="s">
        <v>50</v>
      </c>
      <c r="L49" s="8" t="s">
        <v>130</v>
      </c>
      <c r="M49" s="8" t="s">
        <v>78</v>
      </c>
      <c r="N49" s="8" t="s">
        <v>266</v>
      </c>
      <c r="O49" s="9" t="s">
        <v>511</v>
      </c>
      <c r="P49" s="9"/>
      <c r="Q49" s="9" t="s">
        <v>560</v>
      </c>
      <c r="R49" s="9" t="s">
        <v>27</v>
      </c>
    </row>
    <row r="50" spans="1:18" ht="150" customHeight="1" x14ac:dyDescent="0.45">
      <c r="A50" s="8" t="s">
        <v>289</v>
      </c>
      <c r="B50" s="8" t="s">
        <v>46</v>
      </c>
      <c r="C50" s="8">
        <v>66</v>
      </c>
      <c r="D50" s="8" t="s">
        <v>273</v>
      </c>
      <c r="E50" s="8" t="s">
        <v>290</v>
      </c>
      <c r="F50" s="8">
        <v>11665</v>
      </c>
      <c r="G50" s="8">
        <v>5.12</v>
      </c>
      <c r="H50" s="8" t="s">
        <v>23</v>
      </c>
      <c r="I50" s="8"/>
      <c r="J50" s="8" t="s">
        <v>291</v>
      </c>
      <c r="K50" s="8" t="s">
        <v>58</v>
      </c>
      <c r="L50" s="8" t="s">
        <v>161</v>
      </c>
      <c r="M50" s="8" t="s">
        <v>292</v>
      </c>
      <c r="N50" s="8" t="s">
        <v>293</v>
      </c>
      <c r="O50" s="9" t="s">
        <v>510</v>
      </c>
      <c r="P50" s="9"/>
      <c r="Q50" s="9" t="s">
        <v>562</v>
      </c>
      <c r="R50" s="9" t="s">
        <v>27</v>
      </c>
    </row>
    <row r="51" spans="1:18" ht="150" customHeight="1" x14ac:dyDescent="0.45">
      <c r="A51" s="8" t="s">
        <v>294</v>
      </c>
      <c r="B51" s="8" t="s">
        <v>46</v>
      </c>
      <c r="C51" s="8">
        <v>69</v>
      </c>
      <c r="D51" s="8" t="s">
        <v>273</v>
      </c>
      <c r="E51" s="8" t="s">
        <v>295</v>
      </c>
      <c r="F51" s="8">
        <v>3668</v>
      </c>
      <c r="G51" s="8">
        <v>9.89</v>
      </c>
      <c r="H51" s="8" t="s">
        <v>23</v>
      </c>
      <c r="I51" s="8"/>
      <c r="J51" s="8" t="s">
        <v>296</v>
      </c>
      <c r="K51" s="8" t="s">
        <v>50</v>
      </c>
      <c r="L51" s="8" t="s">
        <v>130</v>
      </c>
      <c r="M51" s="8" t="s">
        <v>78</v>
      </c>
      <c r="N51" s="8" t="s">
        <v>297</v>
      </c>
      <c r="O51" s="9" t="s">
        <v>510</v>
      </c>
      <c r="P51" s="9"/>
      <c r="Q51" s="9" t="s">
        <v>563</v>
      </c>
      <c r="R51" s="9" t="s">
        <v>27</v>
      </c>
    </row>
    <row r="52" spans="1:18" ht="150" customHeight="1" x14ac:dyDescent="0.45">
      <c r="A52" s="8" t="s">
        <v>298</v>
      </c>
      <c r="B52" s="8" t="s">
        <v>46</v>
      </c>
      <c r="C52" s="8">
        <v>70</v>
      </c>
      <c r="D52" s="8" t="s">
        <v>273</v>
      </c>
      <c r="E52" s="8" t="s">
        <v>299</v>
      </c>
      <c r="F52" s="8">
        <v>3571</v>
      </c>
      <c r="G52" s="8">
        <v>9.56</v>
      </c>
      <c r="H52" s="8" t="s">
        <v>153</v>
      </c>
      <c r="I52" s="8"/>
      <c r="J52" s="8" t="s">
        <v>300</v>
      </c>
      <c r="K52" s="8" t="s">
        <v>50</v>
      </c>
      <c r="L52" s="8" t="s">
        <v>130</v>
      </c>
      <c r="M52" s="8" t="s">
        <v>78</v>
      </c>
      <c r="N52" s="8" t="s">
        <v>301</v>
      </c>
      <c r="O52" s="9" t="s">
        <v>510</v>
      </c>
      <c r="P52" s="9"/>
      <c r="Q52" s="9" t="s">
        <v>564</v>
      </c>
      <c r="R52" s="9" t="s">
        <v>27</v>
      </c>
    </row>
    <row r="53" spans="1:18" ht="150" customHeight="1" x14ac:dyDescent="0.45">
      <c r="A53" s="8" t="s">
        <v>302</v>
      </c>
      <c r="B53" s="8" t="s">
        <v>46</v>
      </c>
      <c r="C53" s="8">
        <v>71</v>
      </c>
      <c r="D53" s="8" t="s">
        <v>273</v>
      </c>
      <c r="E53" s="8" t="s">
        <v>303</v>
      </c>
      <c r="F53" s="8">
        <v>4903</v>
      </c>
      <c r="G53" s="8">
        <v>5.89</v>
      </c>
      <c r="H53" s="8" t="s">
        <v>23</v>
      </c>
      <c r="I53" s="8"/>
      <c r="J53" s="8" t="s">
        <v>304</v>
      </c>
      <c r="K53" s="8" t="s">
        <v>58</v>
      </c>
      <c r="L53" s="8" t="s">
        <v>161</v>
      </c>
      <c r="M53" s="8" t="s">
        <v>305</v>
      </c>
      <c r="N53" s="8" t="s">
        <v>306</v>
      </c>
      <c r="O53" s="9" t="s">
        <v>510</v>
      </c>
      <c r="P53" s="9"/>
      <c r="Q53" s="9" t="s">
        <v>565</v>
      </c>
      <c r="R53" s="9" t="s">
        <v>27</v>
      </c>
    </row>
    <row r="54" spans="1:18" ht="150" customHeight="1" x14ac:dyDescent="0.45">
      <c r="A54" s="8" t="s">
        <v>307</v>
      </c>
      <c r="B54" s="8" t="s">
        <v>46</v>
      </c>
      <c r="C54" s="8">
        <v>72</v>
      </c>
      <c r="D54" s="8" t="s">
        <v>273</v>
      </c>
      <c r="E54" s="8" t="s">
        <v>308</v>
      </c>
      <c r="F54" s="8">
        <v>3901</v>
      </c>
      <c r="G54" s="8">
        <v>6.87</v>
      </c>
      <c r="H54" s="8" t="s">
        <v>153</v>
      </c>
      <c r="I54" s="8"/>
      <c r="J54" s="8" t="s">
        <v>309</v>
      </c>
      <c r="K54" s="8" t="s">
        <v>50</v>
      </c>
      <c r="L54" s="8" t="s">
        <v>130</v>
      </c>
      <c r="M54" s="8" t="s">
        <v>78</v>
      </c>
      <c r="N54" s="8" t="s">
        <v>310</v>
      </c>
      <c r="O54" s="9" t="s">
        <v>510</v>
      </c>
      <c r="P54" s="9"/>
      <c r="Q54" s="9" t="s">
        <v>566</v>
      </c>
      <c r="R54" s="9" t="s">
        <v>27</v>
      </c>
    </row>
    <row r="55" spans="1:18" ht="150" customHeight="1" x14ac:dyDescent="0.45">
      <c r="A55" s="10" t="s">
        <v>311</v>
      </c>
      <c r="B55" s="10" t="s">
        <v>46</v>
      </c>
      <c r="C55" s="10">
        <v>74</v>
      </c>
      <c r="D55" s="10" t="s">
        <v>273</v>
      </c>
      <c r="E55" s="10" t="s">
        <v>312</v>
      </c>
      <c r="F55" s="10">
        <v>4529</v>
      </c>
      <c r="G55" s="10">
        <v>5.47</v>
      </c>
      <c r="H55" s="10" t="s">
        <v>82</v>
      </c>
      <c r="I55" s="10" t="s">
        <v>56</v>
      </c>
      <c r="J55" s="10" t="s">
        <v>313</v>
      </c>
      <c r="K55" s="10" t="s">
        <v>50</v>
      </c>
      <c r="L55" s="10" t="s">
        <v>130</v>
      </c>
      <c r="M55" s="10" t="s">
        <v>78</v>
      </c>
      <c r="N55" s="10" t="s">
        <v>266</v>
      </c>
      <c r="O55" s="9" t="s">
        <v>510</v>
      </c>
      <c r="P55" s="9"/>
      <c r="Q55" s="9" t="s">
        <v>567</v>
      </c>
      <c r="R55" s="9" t="s">
        <v>27</v>
      </c>
    </row>
    <row r="56" spans="1:18" ht="150" customHeight="1" x14ac:dyDescent="0.45">
      <c r="A56" s="8" t="s">
        <v>314</v>
      </c>
      <c r="B56" s="8" t="s">
        <v>46</v>
      </c>
      <c r="C56" s="8">
        <v>76</v>
      </c>
      <c r="D56" s="8" t="s">
        <v>273</v>
      </c>
      <c r="E56" s="8" t="s">
        <v>315</v>
      </c>
      <c r="F56" s="8">
        <v>2650</v>
      </c>
      <c r="G56" s="8">
        <v>7.17</v>
      </c>
      <c r="H56" s="8" t="s">
        <v>23</v>
      </c>
      <c r="I56" s="8"/>
      <c r="J56" s="8" t="s">
        <v>316</v>
      </c>
      <c r="K56" s="8" t="s">
        <v>58</v>
      </c>
      <c r="L56" s="8" t="s">
        <v>130</v>
      </c>
      <c r="M56" s="8" t="s">
        <v>78</v>
      </c>
      <c r="N56" s="8" t="s">
        <v>317</v>
      </c>
      <c r="O56" s="9" t="s">
        <v>510</v>
      </c>
      <c r="P56" s="9"/>
      <c r="Q56" s="9" t="s">
        <v>568</v>
      </c>
      <c r="R56" s="9" t="s">
        <v>27</v>
      </c>
    </row>
    <row r="57" spans="1:18" ht="150" customHeight="1" x14ac:dyDescent="0.45">
      <c r="A57" s="8" t="s">
        <v>318</v>
      </c>
      <c r="B57" s="8" t="s">
        <v>46</v>
      </c>
      <c r="C57" s="8">
        <v>78</v>
      </c>
      <c r="D57" s="8" t="s">
        <v>273</v>
      </c>
      <c r="E57" s="8" t="s">
        <v>319</v>
      </c>
      <c r="F57" s="8">
        <v>2893</v>
      </c>
      <c r="G57" s="8">
        <v>6.12</v>
      </c>
      <c r="H57" s="8" t="s">
        <v>82</v>
      </c>
      <c r="I57" s="8"/>
      <c r="J57" s="8" t="s">
        <v>320</v>
      </c>
      <c r="K57" s="8" t="s">
        <v>50</v>
      </c>
      <c r="L57" s="8" t="s">
        <v>130</v>
      </c>
      <c r="M57" s="8" t="s">
        <v>78</v>
      </c>
      <c r="N57" s="8" t="s">
        <v>321</v>
      </c>
      <c r="O57" s="9" t="s">
        <v>24</v>
      </c>
      <c r="P57" s="9" t="s">
        <v>23</v>
      </c>
      <c r="Q57" s="9" t="s">
        <v>569</v>
      </c>
      <c r="R57" s="9" t="s">
        <v>27</v>
      </c>
    </row>
    <row r="58" spans="1:18" ht="150" customHeight="1" x14ac:dyDescent="0.45">
      <c r="A58" s="8" t="s">
        <v>322</v>
      </c>
      <c r="B58" s="8" t="s">
        <v>46</v>
      </c>
      <c r="C58" s="8">
        <v>79</v>
      </c>
      <c r="D58" s="8" t="s">
        <v>273</v>
      </c>
      <c r="E58" s="8" t="s">
        <v>323</v>
      </c>
      <c r="F58" s="8">
        <v>1278</v>
      </c>
      <c r="G58" s="8">
        <v>11.72</v>
      </c>
      <c r="H58" s="8" t="s">
        <v>82</v>
      </c>
      <c r="I58" s="8"/>
      <c r="J58" s="8" t="s">
        <v>324</v>
      </c>
      <c r="K58" s="8" t="s">
        <v>50</v>
      </c>
      <c r="L58" s="8" t="s">
        <v>130</v>
      </c>
      <c r="M58" s="8" t="s">
        <v>78</v>
      </c>
      <c r="N58" s="8" t="s">
        <v>325</v>
      </c>
      <c r="O58" s="9" t="s">
        <v>510</v>
      </c>
      <c r="P58" s="9"/>
      <c r="Q58" s="9" t="s">
        <v>570</v>
      </c>
      <c r="R58" s="9" t="s">
        <v>27</v>
      </c>
    </row>
    <row r="59" spans="1:18" ht="150" customHeight="1" x14ac:dyDescent="0.45">
      <c r="A59" s="8" t="s">
        <v>326</v>
      </c>
      <c r="B59" s="8" t="s">
        <v>46</v>
      </c>
      <c r="C59" s="8">
        <v>81</v>
      </c>
      <c r="D59" s="8" t="s">
        <v>327</v>
      </c>
      <c r="E59" s="8" t="s">
        <v>328</v>
      </c>
      <c r="F59" s="8">
        <v>2679</v>
      </c>
      <c r="G59" s="8">
        <v>15.22</v>
      </c>
      <c r="H59" s="8" t="s">
        <v>23</v>
      </c>
      <c r="I59" s="8"/>
      <c r="J59" s="8" t="s">
        <v>329</v>
      </c>
      <c r="K59" s="8" t="s">
        <v>58</v>
      </c>
      <c r="L59" s="8" t="s">
        <v>330</v>
      </c>
      <c r="M59" s="8" t="s">
        <v>331</v>
      </c>
      <c r="N59" s="8" t="s">
        <v>332</v>
      </c>
      <c r="O59" s="9" t="s">
        <v>510</v>
      </c>
      <c r="P59" s="9"/>
      <c r="Q59" s="9" t="s">
        <v>571</v>
      </c>
      <c r="R59" s="9" t="s">
        <v>27</v>
      </c>
    </row>
    <row r="60" spans="1:18" ht="150" customHeight="1" x14ac:dyDescent="0.45">
      <c r="A60" s="8" t="s">
        <v>333</v>
      </c>
      <c r="B60" s="8" t="s">
        <v>46</v>
      </c>
      <c r="C60" s="8">
        <v>83</v>
      </c>
      <c r="D60" s="8" t="s">
        <v>327</v>
      </c>
      <c r="E60" s="8" t="s">
        <v>165</v>
      </c>
      <c r="F60" s="8">
        <v>5283</v>
      </c>
      <c r="G60" s="8">
        <v>5.71</v>
      </c>
      <c r="H60" s="8" t="s">
        <v>23</v>
      </c>
      <c r="I60" s="8"/>
      <c r="J60" s="8" t="s">
        <v>334</v>
      </c>
      <c r="K60" s="8" t="s">
        <v>50</v>
      </c>
      <c r="L60" s="8" t="s">
        <v>130</v>
      </c>
      <c r="M60" s="8" t="s">
        <v>78</v>
      </c>
      <c r="N60" s="8" t="s">
        <v>335</v>
      </c>
      <c r="O60" s="9" t="s">
        <v>510</v>
      </c>
      <c r="P60" s="9"/>
      <c r="Q60" s="9" t="s">
        <v>572</v>
      </c>
      <c r="R60" s="9" t="s">
        <v>27</v>
      </c>
    </row>
    <row r="61" spans="1:18" ht="150" customHeight="1" x14ac:dyDescent="0.45">
      <c r="A61" s="10" t="s">
        <v>336</v>
      </c>
      <c r="B61" s="10" t="s">
        <v>46</v>
      </c>
      <c r="C61" s="10">
        <v>84</v>
      </c>
      <c r="D61" s="10" t="s">
        <v>327</v>
      </c>
      <c r="E61" s="10" t="s">
        <v>337</v>
      </c>
      <c r="F61" s="10">
        <v>10585</v>
      </c>
      <c r="G61" s="10">
        <v>3.59</v>
      </c>
      <c r="H61" s="10" t="s">
        <v>23</v>
      </c>
      <c r="I61" s="10" t="s">
        <v>338</v>
      </c>
      <c r="J61" s="10" t="s">
        <v>339</v>
      </c>
      <c r="K61" s="10" t="s">
        <v>212</v>
      </c>
      <c r="L61" s="10" t="s">
        <v>340</v>
      </c>
      <c r="M61" s="10" t="s">
        <v>341</v>
      </c>
      <c r="N61" s="10" t="s">
        <v>342</v>
      </c>
      <c r="O61" s="9" t="s">
        <v>510</v>
      </c>
      <c r="P61" s="9"/>
      <c r="Q61" s="9" t="s">
        <v>573</v>
      </c>
      <c r="R61" s="9" t="s">
        <v>27</v>
      </c>
    </row>
    <row r="62" spans="1:18" ht="150" customHeight="1" x14ac:dyDescent="0.45">
      <c r="A62" s="10" t="s">
        <v>343</v>
      </c>
      <c r="B62" s="10" t="s">
        <v>46</v>
      </c>
      <c r="C62" s="10">
        <v>85</v>
      </c>
      <c r="D62" s="10" t="s">
        <v>327</v>
      </c>
      <c r="E62" s="10" t="s">
        <v>344</v>
      </c>
      <c r="F62" s="10">
        <v>2093</v>
      </c>
      <c r="G62" s="10">
        <v>10.81</v>
      </c>
      <c r="H62" s="10" t="s">
        <v>23</v>
      </c>
      <c r="I62" s="10" t="s">
        <v>345</v>
      </c>
      <c r="J62" s="10" t="s">
        <v>346</v>
      </c>
      <c r="K62" s="10" t="s">
        <v>50</v>
      </c>
      <c r="L62" s="10" t="s">
        <v>130</v>
      </c>
      <c r="M62" s="10" t="s">
        <v>78</v>
      </c>
      <c r="N62" s="10" t="s">
        <v>266</v>
      </c>
      <c r="O62" s="9" t="s">
        <v>511</v>
      </c>
      <c r="P62" s="9"/>
      <c r="Q62" s="9" t="s">
        <v>574</v>
      </c>
      <c r="R62" s="9" t="s">
        <v>27</v>
      </c>
    </row>
    <row r="63" spans="1:18" ht="150" customHeight="1" x14ac:dyDescent="0.45">
      <c r="A63" s="8" t="s">
        <v>347</v>
      </c>
      <c r="B63" s="8" t="s">
        <v>46</v>
      </c>
      <c r="C63" s="8">
        <v>87</v>
      </c>
      <c r="D63" s="8" t="s">
        <v>327</v>
      </c>
      <c r="E63" s="8" t="s">
        <v>348</v>
      </c>
      <c r="F63" s="8">
        <v>3694</v>
      </c>
      <c r="G63" s="8">
        <v>6.04</v>
      </c>
      <c r="H63" s="8" t="s">
        <v>23</v>
      </c>
      <c r="I63" s="8"/>
      <c r="J63" s="8" t="s">
        <v>349</v>
      </c>
      <c r="K63" s="8" t="s">
        <v>50</v>
      </c>
      <c r="L63" s="8" t="s">
        <v>130</v>
      </c>
      <c r="M63" s="8" t="s">
        <v>78</v>
      </c>
      <c r="N63" s="8" t="s">
        <v>350</v>
      </c>
      <c r="O63" s="9" t="s">
        <v>510</v>
      </c>
      <c r="P63" s="9"/>
      <c r="Q63" s="9" t="s">
        <v>575</v>
      </c>
      <c r="R63" s="9" t="s">
        <v>27</v>
      </c>
    </row>
    <row r="64" spans="1:18" ht="150" customHeight="1" x14ac:dyDescent="0.45">
      <c r="A64" s="8" t="s">
        <v>351</v>
      </c>
      <c r="B64" s="8" t="s">
        <v>46</v>
      </c>
      <c r="C64" s="8">
        <v>89</v>
      </c>
      <c r="D64" s="8" t="s">
        <v>327</v>
      </c>
      <c r="E64" s="8" t="s">
        <v>352</v>
      </c>
      <c r="F64" s="8">
        <v>5595</v>
      </c>
      <c r="G64" s="8">
        <v>3.25</v>
      </c>
      <c r="H64" s="8" t="s">
        <v>23</v>
      </c>
      <c r="I64" s="8"/>
      <c r="J64" s="8" t="s">
        <v>353</v>
      </c>
      <c r="K64" s="8" t="s">
        <v>50</v>
      </c>
      <c r="L64" s="8" t="s">
        <v>354</v>
      </c>
      <c r="M64" s="8" t="s">
        <v>355</v>
      </c>
      <c r="N64" s="8" t="s">
        <v>356</v>
      </c>
      <c r="O64" s="9" t="s">
        <v>510</v>
      </c>
      <c r="P64" s="9"/>
      <c r="Q64" s="9" t="s">
        <v>576</v>
      </c>
      <c r="R64" s="9" t="s">
        <v>27</v>
      </c>
    </row>
    <row r="65" spans="1:18" ht="150" customHeight="1" x14ac:dyDescent="0.45">
      <c r="A65" s="8" t="s">
        <v>357</v>
      </c>
      <c r="B65" s="8" t="s">
        <v>46</v>
      </c>
      <c r="C65" s="8">
        <v>90</v>
      </c>
      <c r="D65" s="8" t="s">
        <v>327</v>
      </c>
      <c r="E65" s="8" t="s">
        <v>358</v>
      </c>
      <c r="F65" s="8">
        <v>7420</v>
      </c>
      <c r="G65" s="8">
        <v>2.67</v>
      </c>
      <c r="H65" s="8" t="s">
        <v>23</v>
      </c>
      <c r="I65" s="8"/>
      <c r="J65" s="8" t="s">
        <v>359</v>
      </c>
      <c r="K65" s="8" t="s">
        <v>50</v>
      </c>
      <c r="L65" s="8" t="s">
        <v>360</v>
      </c>
      <c r="M65" s="8" t="s">
        <v>361</v>
      </c>
      <c r="N65" s="8" t="s">
        <v>362</v>
      </c>
      <c r="O65" s="9" t="s">
        <v>510</v>
      </c>
      <c r="P65" s="9"/>
      <c r="Q65" s="9" t="s">
        <v>577</v>
      </c>
      <c r="R65" s="9" t="s">
        <v>27</v>
      </c>
    </row>
    <row r="66" spans="1:18" ht="150" customHeight="1" x14ac:dyDescent="0.45">
      <c r="A66" s="8" t="s">
        <v>363</v>
      </c>
      <c r="B66" s="8" t="s">
        <v>46</v>
      </c>
      <c r="C66" s="8">
        <v>91</v>
      </c>
      <c r="D66" s="8" t="s">
        <v>327</v>
      </c>
      <c r="E66" s="8" t="s">
        <v>364</v>
      </c>
      <c r="F66" s="8">
        <v>3451</v>
      </c>
      <c r="G66" s="8">
        <v>3.99</v>
      </c>
      <c r="H66" s="8" t="s">
        <v>23</v>
      </c>
      <c r="I66" s="8"/>
      <c r="J66" s="8" t="s">
        <v>349</v>
      </c>
      <c r="K66" s="8" t="s">
        <v>50</v>
      </c>
      <c r="L66" s="8" t="s">
        <v>130</v>
      </c>
      <c r="M66" s="8" t="s">
        <v>78</v>
      </c>
      <c r="N66" s="8" t="s">
        <v>365</v>
      </c>
      <c r="O66" s="9" t="s">
        <v>510</v>
      </c>
      <c r="P66" s="9"/>
      <c r="Q66" s="9" t="s">
        <v>578</v>
      </c>
      <c r="R66" s="9" t="s">
        <v>27</v>
      </c>
    </row>
    <row r="67" spans="1:18" ht="150" customHeight="1" x14ac:dyDescent="0.45">
      <c r="A67" s="8" t="s">
        <v>366</v>
      </c>
      <c r="B67" s="8" t="s">
        <v>46</v>
      </c>
      <c r="C67" s="8">
        <v>92</v>
      </c>
      <c r="D67" s="8" t="s">
        <v>327</v>
      </c>
      <c r="E67" s="8" t="s">
        <v>367</v>
      </c>
      <c r="F67" s="8">
        <v>3122</v>
      </c>
      <c r="G67" s="8">
        <v>4.13</v>
      </c>
      <c r="H67" s="8" t="s">
        <v>23</v>
      </c>
      <c r="I67" s="8"/>
      <c r="J67" s="8" t="s">
        <v>368</v>
      </c>
      <c r="K67" s="8" t="s">
        <v>50</v>
      </c>
      <c r="L67" s="8" t="s">
        <v>360</v>
      </c>
      <c r="M67" s="8" t="s">
        <v>369</v>
      </c>
      <c r="N67" s="8" t="s">
        <v>370</v>
      </c>
      <c r="O67" s="9" t="s">
        <v>510</v>
      </c>
      <c r="P67" s="9"/>
      <c r="Q67" s="9" t="s">
        <v>579</v>
      </c>
      <c r="R67" s="9" t="s">
        <v>27</v>
      </c>
    </row>
    <row r="68" spans="1:18" ht="150" customHeight="1" x14ac:dyDescent="0.45">
      <c r="A68" s="8" t="s">
        <v>371</v>
      </c>
      <c r="B68" s="8" t="s">
        <v>46</v>
      </c>
      <c r="C68" s="8">
        <v>93</v>
      </c>
      <c r="D68" s="8" t="s">
        <v>327</v>
      </c>
      <c r="E68" s="8" t="s">
        <v>372</v>
      </c>
      <c r="F68" s="8">
        <v>4899</v>
      </c>
      <c r="G68" s="8">
        <v>2.91</v>
      </c>
      <c r="H68" s="8" t="s">
        <v>23</v>
      </c>
      <c r="I68" s="8"/>
      <c r="J68" s="8" t="s">
        <v>373</v>
      </c>
      <c r="K68" s="8" t="s">
        <v>58</v>
      </c>
      <c r="L68" s="8" t="s">
        <v>190</v>
      </c>
      <c r="M68" s="8" t="s">
        <v>374</v>
      </c>
      <c r="N68" s="8" t="s">
        <v>375</v>
      </c>
      <c r="O68" s="9" t="s">
        <v>510</v>
      </c>
      <c r="P68" s="9"/>
      <c r="Q68" s="9" t="s">
        <v>580</v>
      </c>
      <c r="R68" s="9" t="s">
        <v>27</v>
      </c>
    </row>
    <row r="69" spans="1:18" ht="150" customHeight="1" x14ac:dyDescent="0.45">
      <c r="A69" s="8" t="s">
        <v>376</v>
      </c>
      <c r="B69" s="8" t="s">
        <v>46</v>
      </c>
      <c r="C69" s="8">
        <v>94</v>
      </c>
      <c r="D69" s="8" t="s">
        <v>327</v>
      </c>
      <c r="E69" s="8" t="s">
        <v>377</v>
      </c>
      <c r="F69" s="8">
        <v>5513</v>
      </c>
      <c r="G69" s="8">
        <v>2.63</v>
      </c>
      <c r="H69" s="8" t="s">
        <v>23</v>
      </c>
      <c r="I69" s="8"/>
      <c r="J69" s="8" t="s">
        <v>378</v>
      </c>
      <c r="K69" s="8" t="s">
        <v>50</v>
      </c>
      <c r="L69" s="8" t="s">
        <v>190</v>
      </c>
      <c r="M69" s="8" t="s">
        <v>379</v>
      </c>
      <c r="N69" s="8" t="s">
        <v>380</v>
      </c>
      <c r="O69" s="9" t="s">
        <v>510</v>
      </c>
      <c r="P69" s="9"/>
      <c r="Q69" s="9" t="s">
        <v>581</v>
      </c>
      <c r="R69" s="9" t="s">
        <v>27</v>
      </c>
    </row>
    <row r="70" spans="1:18" ht="150" customHeight="1" x14ac:dyDescent="0.45">
      <c r="A70" s="8" t="s">
        <v>381</v>
      </c>
      <c r="B70" s="8" t="s">
        <v>46</v>
      </c>
      <c r="C70" s="8">
        <v>95</v>
      </c>
      <c r="D70" s="8" t="s">
        <v>327</v>
      </c>
      <c r="E70" s="8" t="s">
        <v>382</v>
      </c>
      <c r="F70" s="8">
        <v>906</v>
      </c>
      <c r="G70" s="8">
        <v>7.85</v>
      </c>
      <c r="H70" s="8" t="s">
        <v>23</v>
      </c>
      <c r="I70" s="8"/>
      <c r="J70" s="8" t="s">
        <v>383</v>
      </c>
      <c r="K70" s="8" t="s">
        <v>50</v>
      </c>
      <c r="L70" s="8" t="s">
        <v>167</v>
      </c>
      <c r="M70" s="8" t="s">
        <v>384</v>
      </c>
      <c r="N70" s="8" t="s">
        <v>385</v>
      </c>
      <c r="O70" s="9" t="s">
        <v>510</v>
      </c>
      <c r="P70" s="9"/>
      <c r="Q70" s="9" t="s">
        <v>582</v>
      </c>
      <c r="R70" s="9" t="s">
        <v>27</v>
      </c>
    </row>
    <row r="71" spans="1:18" ht="150" customHeight="1" x14ac:dyDescent="0.45">
      <c r="A71" s="10" t="s">
        <v>386</v>
      </c>
      <c r="B71" s="10" t="s">
        <v>46</v>
      </c>
      <c r="C71" s="10">
        <v>96</v>
      </c>
      <c r="D71" s="10" t="s">
        <v>327</v>
      </c>
      <c r="E71" s="10" t="s">
        <v>387</v>
      </c>
      <c r="F71" s="10">
        <v>1756</v>
      </c>
      <c r="G71" s="10">
        <v>4.72</v>
      </c>
      <c r="H71" s="10" t="s">
        <v>23</v>
      </c>
      <c r="I71" s="10" t="s">
        <v>338</v>
      </c>
      <c r="J71" s="10" t="s">
        <v>388</v>
      </c>
      <c r="K71" s="10" t="s">
        <v>58</v>
      </c>
      <c r="L71" s="10" t="s">
        <v>389</v>
      </c>
      <c r="M71" s="10" t="s">
        <v>390</v>
      </c>
      <c r="N71" s="10" t="s">
        <v>391</v>
      </c>
      <c r="O71" s="9" t="s">
        <v>510</v>
      </c>
      <c r="P71" s="9"/>
      <c r="Q71" s="9" t="s">
        <v>583</v>
      </c>
      <c r="R71" s="9" t="s">
        <v>27</v>
      </c>
    </row>
    <row r="72" spans="1:18" ht="150" customHeight="1" x14ac:dyDescent="0.45">
      <c r="A72" s="8" t="s">
        <v>392</v>
      </c>
      <c r="B72" s="8" t="s">
        <v>46</v>
      </c>
      <c r="C72" s="8">
        <v>97</v>
      </c>
      <c r="D72" s="8" t="s">
        <v>327</v>
      </c>
      <c r="E72" s="8" t="s">
        <v>393</v>
      </c>
      <c r="F72" s="8">
        <v>7584</v>
      </c>
      <c r="G72" s="8">
        <v>2.1800000000000002</v>
      </c>
      <c r="H72" s="8" t="s">
        <v>23</v>
      </c>
      <c r="I72" s="8"/>
      <c r="J72" s="8" t="s">
        <v>394</v>
      </c>
      <c r="K72" s="8" t="s">
        <v>58</v>
      </c>
      <c r="L72" s="8" t="s">
        <v>395</v>
      </c>
      <c r="M72" s="8" t="s">
        <v>396</v>
      </c>
      <c r="N72" s="8" t="s">
        <v>397</v>
      </c>
      <c r="O72" s="9" t="s">
        <v>510</v>
      </c>
      <c r="P72" s="9"/>
      <c r="Q72" s="9" t="s">
        <v>584</v>
      </c>
      <c r="R72" s="9" t="s">
        <v>27</v>
      </c>
    </row>
    <row r="73" spans="1:18" ht="150" customHeight="1" x14ac:dyDescent="0.45">
      <c r="A73" s="8" t="s">
        <v>398</v>
      </c>
      <c r="B73" s="8" t="s">
        <v>399</v>
      </c>
      <c r="C73" s="8">
        <v>31</v>
      </c>
      <c r="D73" s="8" t="s">
        <v>400</v>
      </c>
      <c r="E73" s="8" t="s">
        <v>401</v>
      </c>
      <c r="F73" s="8">
        <v>2273</v>
      </c>
      <c r="G73" s="8"/>
      <c r="H73" s="8" t="s">
        <v>23</v>
      </c>
      <c r="I73" s="8"/>
      <c r="J73" s="8" t="s">
        <v>402</v>
      </c>
      <c r="K73" s="8" t="s">
        <v>50</v>
      </c>
      <c r="L73" s="8" t="s">
        <v>403</v>
      </c>
      <c r="M73" s="8" t="s">
        <v>78</v>
      </c>
      <c r="N73" s="8" t="s">
        <v>404</v>
      </c>
      <c r="O73" s="9" t="s">
        <v>510</v>
      </c>
      <c r="P73" s="9"/>
      <c r="Q73" s="9" t="s">
        <v>585</v>
      </c>
      <c r="R73" s="9" t="s">
        <v>27</v>
      </c>
    </row>
    <row r="74" spans="1:18" ht="150" customHeight="1" x14ac:dyDescent="0.45">
      <c r="A74" s="8" t="s">
        <v>405</v>
      </c>
      <c r="B74" s="8" t="s">
        <v>399</v>
      </c>
      <c r="C74" s="8">
        <v>32</v>
      </c>
      <c r="D74" s="8" t="s">
        <v>400</v>
      </c>
      <c r="E74" s="8" t="s">
        <v>406</v>
      </c>
      <c r="F74" s="8">
        <v>1713</v>
      </c>
      <c r="G74" s="8"/>
      <c r="H74" s="8" t="s">
        <v>23</v>
      </c>
      <c r="I74" s="8"/>
      <c r="J74" s="8" t="s">
        <v>407</v>
      </c>
      <c r="K74" s="8" t="s">
        <v>50</v>
      </c>
      <c r="L74" s="8" t="s">
        <v>408</v>
      </c>
      <c r="M74" s="8" t="s">
        <v>409</v>
      </c>
      <c r="N74" s="8" t="s">
        <v>410</v>
      </c>
      <c r="O74" s="9" t="s">
        <v>510</v>
      </c>
      <c r="P74" s="9"/>
      <c r="Q74" s="9" t="s">
        <v>586</v>
      </c>
      <c r="R74" s="9" t="s">
        <v>27</v>
      </c>
    </row>
    <row r="75" spans="1:18" ht="150" customHeight="1" x14ac:dyDescent="0.45">
      <c r="A75" s="8" t="s">
        <v>411</v>
      </c>
      <c r="B75" s="8" t="s">
        <v>399</v>
      </c>
      <c r="C75" s="8">
        <v>33</v>
      </c>
      <c r="D75" s="8" t="s">
        <v>400</v>
      </c>
      <c r="E75" s="8" t="s">
        <v>412</v>
      </c>
      <c r="F75" s="8">
        <v>1207</v>
      </c>
      <c r="G75" s="8"/>
      <c r="H75" s="8" t="s">
        <v>23</v>
      </c>
      <c r="I75" s="8"/>
      <c r="J75" s="8" t="s">
        <v>413</v>
      </c>
      <c r="K75" s="8" t="s">
        <v>50</v>
      </c>
      <c r="L75" s="8" t="s">
        <v>414</v>
      </c>
      <c r="M75" s="8" t="s">
        <v>415</v>
      </c>
      <c r="N75" s="8" t="s">
        <v>416</v>
      </c>
      <c r="O75" s="9" t="s">
        <v>510</v>
      </c>
      <c r="P75" s="9"/>
      <c r="Q75" s="9" t="s">
        <v>587</v>
      </c>
      <c r="R75" s="9" t="s">
        <v>27</v>
      </c>
    </row>
    <row r="76" spans="1:18" ht="150" customHeight="1" x14ac:dyDescent="0.45">
      <c r="A76" s="8" t="s">
        <v>417</v>
      </c>
      <c r="B76" s="8" t="s">
        <v>399</v>
      </c>
      <c r="C76" s="8">
        <v>34</v>
      </c>
      <c r="D76" s="8" t="s">
        <v>400</v>
      </c>
      <c r="E76" s="8" t="s">
        <v>418</v>
      </c>
      <c r="F76" s="8">
        <v>271</v>
      </c>
      <c r="G76" s="8"/>
      <c r="H76" s="8" t="s">
        <v>419</v>
      </c>
      <c r="I76" s="8"/>
      <c r="J76" s="8" t="s">
        <v>420</v>
      </c>
      <c r="K76" s="8" t="s">
        <v>50</v>
      </c>
      <c r="L76" s="8" t="s">
        <v>403</v>
      </c>
      <c r="M76" s="8" t="s">
        <v>78</v>
      </c>
      <c r="N76" s="8" t="s">
        <v>421</v>
      </c>
      <c r="O76" s="9" t="s">
        <v>24</v>
      </c>
      <c r="P76" s="9" t="s">
        <v>25</v>
      </c>
      <c r="Q76" s="9" t="s">
        <v>588</v>
      </c>
      <c r="R76" s="9" t="s">
        <v>27</v>
      </c>
    </row>
    <row r="77" spans="1:18" ht="150" customHeight="1" x14ac:dyDescent="0.45">
      <c r="A77" s="8" t="s">
        <v>422</v>
      </c>
      <c r="B77" s="8" t="s">
        <v>399</v>
      </c>
      <c r="C77" s="8">
        <v>35</v>
      </c>
      <c r="D77" s="8" t="s">
        <v>400</v>
      </c>
      <c r="E77" s="8" t="s">
        <v>423</v>
      </c>
      <c r="F77" s="8">
        <v>188</v>
      </c>
      <c r="G77" s="8"/>
      <c r="H77" s="8" t="s">
        <v>23</v>
      </c>
      <c r="I77" s="8"/>
      <c r="J77" s="8" t="s">
        <v>424</v>
      </c>
      <c r="K77" s="8" t="s">
        <v>50</v>
      </c>
      <c r="L77" s="8" t="s">
        <v>403</v>
      </c>
      <c r="M77" s="8" t="s">
        <v>78</v>
      </c>
      <c r="N77" s="8" t="s">
        <v>425</v>
      </c>
      <c r="O77" s="9" t="s">
        <v>510</v>
      </c>
      <c r="P77" s="9"/>
      <c r="Q77" s="9" t="s">
        <v>589</v>
      </c>
      <c r="R77" s="9" t="s">
        <v>27</v>
      </c>
    </row>
    <row r="78" spans="1:18" ht="150" customHeight="1" x14ac:dyDescent="0.45">
      <c r="A78" s="8" t="s">
        <v>426</v>
      </c>
      <c r="B78" s="8" t="s">
        <v>399</v>
      </c>
      <c r="C78" s="8">
        <v>36</v>
      </c>
      <c r="D78" s="8" t="s">
        <v>400</v>
      </c>
      <c r="E78" s="8" t="s">
        <v>427</v>
      </c>
      <c r="F78" s="8">
        <v>86</v>
      </c>
      <c r="G78" s="8"/>
      <c r="H78" s="8" t="s">
        <v>23</v>
      </c>
      <c r="I78" s="8"/>
      <c r="J78" s="8" t="s">
        <v>428</v>
      </c>
      <c r="K78" s="8" t="s">
        <v>50</v>
      </c>
      <c r="L78" s="8" t="s">
        <v>403</v>
      </c>
      <c r="M78" s="8" t="s">
        <v>78</v>
      </c>
      <c r="N78" s="8" t="s">
        <v>429</v>
      </c>
      <c r="O78" s="9" t="s">
        <v>510</v>
      </c>
      <c r="P78" s="9"/>
      <c r="Q78" s="9" t="s">
        <v>590</v>
      </c>
      <c r="R78" s="9" t="s">
        <v>27</v>
      </c>
    </row>
    <row r="79" spans="1:18" ht="150" customHeight="1" x14ac:dyDescent="0.45">
      <c r="A79" s="8" t="s">
        <v>430</v>
      </c>
      <c r="B79" s="8" t="s">
        <v>399</v>
      </c>
      <c r="C79" s="8">
        <v>37</v>
      </c>
      <c r="D79" s="8" t="s">
        <v>400</v>
      </c>
      <c r="E79" s="8" t="s">
        <v>431</v>
      </c>
      <c r="F79" s="8">
        <v>56</v>
      </c>
      <c r="G79" s="8"/>
      <c r="H79" s="8" t="s">
        <v>25</v>
      </c>
      <c r="I79" s="8"/>
      <c r="J79" s="8" t="s">
        <v>432</v>
      </c>
      <c r="K79" s="8" t="s">
        <v>50</v>
      </c>
      <c r="L79" s="8" t="s">
        <v>403</v>
      </c>
      <c r="M79" s="8" t="s">
        <v>78</v>
      </c>
      <c r="N79" s="8" t="s">
        <v>433</v>
      </c>
      <c r="O79" s="9" t="s">
        <v>510</v>
      </c>
      <c r="P79" s="9"/>
      <c r="Q79" s="9" t="s">
        <v>591</v>
      </c>
      <c r="R79" s="9" t="s">
        <v>27</v>
      </c>
    </row>
    <row r="80" spans="1:18" ht="150" customHeight="1" x14ac:dyDescent="0.45">
      <c r="A80" s="8" t="s">
        <v>434</v>
      </c>
      <c r="B80" s="8" t="s">
        <v>399</v>
      </c>
      <c r="C80" s="8">
        <v>38</v>
      </c>
      <c r="D80" s="8" t="s">
        <v>400</v>
      </c>
      <c r="E80" s="8" t="s">
        <v>435</v>
      </c>
      <c r="F80" s="8">
        <v>48</v>
      </c>
      <c r="G80" s="8"/>
      <c r="H80" s="8" t="s">
        <v>23</v>
      </c>
      <c r="I80" s="8"/>
      <c r="J80" s="8" t="s">
        <v>436</v>
      </c>
      <c r="K80" s="8" t="s">
        <v>50</v>
      </c>
      <c r="L80" s="8" t="s">
        <v>403</v>
      </c>
      <c r="M80" s="8" t="s">
        <v>78</v>
      </c>
      <c r="N80" s="8" t="s">
        <v>437</v>
      </c>
      <c r="O80" s="9" t="s">
        <v>510</v>
      </c>
      <c r="P80" s="9"/>
      <c r="Q80" s="9" t="s">
        <v>592</v>
      </c>
      <c r="R80" s="9" t="s">
        <v>27</v>
      </c>
    </row>
    <row r="81" spans="1:18" ht="150" customHeight="1" x14ac:dyDescent="0.45">
      <c r="A81" s="8" t="s">
        <v>438</v>
      </c>
      <c r="B81" s="8" t="s">
        <v>399</v>
      </c>
      <c r="C81" s="8">
        <v>39</v>
      </c>
      <c r="D81" s="8" t="s">
        <v>400</v>
      </c>
      <c r="E81" s="8" t="s">
        <v>439</v>
      </c>
      <c r="F81" s="8">
        <v>45</v>
      </c>
      <c r="G81" s="8"/>
      <c r="H81" s="8" t="s">
        <v>440</v>
      </c>
      <c r="I81" s="8"/>
      <c r="J81" s="8" t="s">
        <v>441</v>
      </c>
      <c r="K81" s="8" t="s">
        <v>50</v>
      </c>
      <c r="L81" s="8" t="s">
        <v>442</v>
      </c>
      <c r="M81" s="8" t="s">
        <v>443</v>
      </c>
      <c r="N81" s="8" t="s">
        <v>444</v>
      </c>
      <c r="O81" s="9" t="s">
        <v>511</v>
      </c>
      <c r="P81" s="9"/>
      <c r="Q81" s="9" t="s">
        <v>593</v>
      </c>
      <c r="R81" s="9" t="s">
        <v>27</v>
      </c>
    </row>
    <row r="82" spans="1:18" ht="150" customHeight="1" x14ac:dyDescent="0.45">
      <c r="A82" s="8" t="s">
        <v>445</v>
      </c>
      <c r="B82" s="8" t="s">
        <v>399</v>
      </c>
      <c r="C82" s="8">
        <v>40</v>
      </c>
      <c r="D82" s="8" t="s">
        <v>400</v>
      </c>
      <c r="E82" s="8" t="s">
        <v>446</v>
      </c>
      <c r="F82" s="8">
        <v>38</v>
      </c>
      <c r="G82" s="8"/>
      <c r="H82" s="8" t="s">
        <v>447</v>
      </c>
      <c r="I82" s="8"/>
      <c r="J82" s="8" t="s">
        <v>448</v>
      </c>
      <c r="K82" s="8" t="s">
        <v>50</v>
      </c>
      <c r="L82" s="8" t="s">
        <v>403</v>
      </c>
      <c r="M82" s="8" t="s">
        <v>78</v>
      </c>
      <c r="N82" s="8" t="s">
        <v>266</v>
      </c>
      <c r="O82" s="9" t="s">
        <v>511</v>
      </c>
      <c r="P82" s="9"/>
      <c r="Q82" s="9" t="s">
        <v>594</v>
      </c>
      <c r="R82" s="9" t="s">
        <v>27</v>
      </c>
    </row>
    <row r="83" spans="1:18" ht="150" customHeight="1" x14ac:dyDescent="0.45">
      <c r="A83" s="8" t="s">
        <v>449</v>
      </c>
      <c r="B83" s="8" t="s">
        <v>399</v>
      </c>
      <c r="C83" s="8">
        <v>193</v>
      </c>
      <c r="D83" s="8" t="s">
        <v>450</v>
      </c>
      <c r="E83" s="8" t="s">
        <v>451</v>
      </c>
      <c r="F83" s="8">
        <v>44</v>
      </c>
      <c r="G83" s="8"/>
      <c r="H83" s="8" t="s">
        <v>440</v>
      </c>
      <c r="I83" s="8"/>
      <c r="J83" s="8" t="s">
        <v>452</v>
      </c>
      <c r="K83" s="8" t="s">
        <v>50</v>
      </c>
      <c r="L83" s="8" t="s">
        <v>130</v>
      </c>
      <c r="M83" s="8" t="s">
        <v>78</v>
      </c>
      <c r="N83" s="8" t="s">
        <v>453</v>
      </c>
      <c r="O83" s="9" t="s">
        <v>24</v>
      </c>
      <c r="P83" s="9" t="s">
        <v>23</v>
      </c>
      <c r="Q83" s="9" t="s">
        <v>595</v>
      </c>
      <c r="R83" s="9" t="s">
        <v>27</v>
      </c>
    </row>
    <row r="84" spans="1:18" ht="150" customHeight="1" x14ac:dyDescent="0.45">
      <c r="A84" s="8" t="s">
        <v>454</v>
      </c>
      <c r="B84" s="8" t="s">
        <v>399</v>
      </c>
      <c r="C84" s="8">
        <v>194</v>
      </c>
      <c r="D84" s="8" t="s">
        <v>450</v>
      </c>
      <c r="E84" s="8" t="s">
        <v>455</v>
      </c>
      <c r="F84" s="8">
        <v>22</v>
      </c>
      <c r="G84" s="8"/>
      <c r="H84" s="8" t="s">
        <v>153</v>
      </c>
      <c r="I84" s="8"/>
      <c r="J84" s="8" t="s">
        <v>456</v>
      </c>
      <c r="K84" s="8" t="s">
        <v>50</v>
      </c>
      <c r="L84" s="8" t="s">
        <v>130</v>
      </c>
      <c r="M84" s="8" t="s">
        <v>78</v>
      </c>
      <c r="N84" s="8" t="s">
        <v>457</v>
      </c>
      <c r="O84" s="9" t="s">
        <v>510</v>
      </c>
      <c r="P84" s="9"/>
      <c r="Q84" s="9" t="s">
        <v>596</v>
      </c>
      <c r="R84" s="9" t="s">
        <v>27</v>
      </c>
    </row>
    <row r="85" spans="1:18" ht="150" customHeight="1" x14ac:dyDescent="0.45">
      <c r="A85" s="8" t="s">
        <v>458</v>
      </c>
      <c r="B85" s="8" t="s">
        <v>399</v>
      </c>
      <c r="C85" s="8">
        <v>195</v>
      </c>
      <c r="D85" s="8" t="s">
        <v>450</v>
      </c>
      <c r="E85" s="8" t="s">
        <v>459</v>
      </c>
      <c r="F85" s="8">
        <v>8</v>
      </c>
      <c r="G85" s="8"/>
      <c r="H85" s="8" t="s">
        <v>419</v>
      </c>
      <c r="I85" s="8"/>
      <c r="J85" s="8" t="s">
        <v>460</v>
      </c>
      <c r="K85" s="8" t="s">
        <v>50</v>
      </c>
      <c r="L85" s="8" t="s">
        <v>130</v>
      </c>
      <c r="M85" s="8" t="s">
        <v>78</v>
      </c>
      <c r="N85" s="8" t="s">
        <v>461</v>
      </c>
      <c r="O85" s="9" t="s">
        <v>511</v>
      </c>
      <c r="P85" s="9"/>
      <c r="Q85" s="9" t="s">
        <v>597</v>
      </c>
      <c r="R85" s="9" t="s">
        <v>27</v>
      </c>
    </row>
    <row r="86" spans="1:18" ht="150" customHeight="1" x14ac:dyDescent="0.45">
      <c r="A86" s="8" t="s">
        <v>462</v>
      </c>
      <c r="B86" s="8" t="s">
        <v>399</v>
      </c>
      <c r="C86" s="8">
        <v>196</v>
      </c>
      <c r="D86" s="8" t="s">
        <v>450</v>
      </c>
      <c r="E86" s="8" t="s">
        <v>463</v>
      </c>
      <c r="F86" s="8">
        <v>4</v>
      </c>
      <c r="G86" s="8"/>
      <c r="H86" s="8" t="s">
        <v>447</v>
      </c>
      <c r="I86" s="8"/>
      <c r="J86" s="8" t="s">
        <v>464</v>
      </c>
      <c r="K86" s="8" t="s">
        <v>50</v>
      </c>
      <c r="L86" s="8" t="s">
        <v>130</v>
      </c>
      <c r="M86" s="8" t="s">
        <v>78</v>
      </c>
      <c r="N86" s="8" t="s">
        <v>465</v>
      </c>
      <c r="O86" s="9" t="s">
        <v>511</v>
      </c>
      <c r="P86" s="9"/>
      <c r="Q86" s="9" t="s">
        <v>598</v>
      </c>
      <c r="R86" s="9" t="s">
        <v>27</v>
      </c>
    </row>
    <row r="87" spans="1:18" ht="150" customHeight="1" x14ac:dyDescent="0.45">
      <c r="A87" s="8" t="s">
        <v>466</v>
      </c>
      <c r="B87" s="8" t="s">
        <v>399</v>
      </c>
      <c r="C87" s="8">
        <v>197</v>
      </c>
      <c r="D87" s="8" t="s">
        <v>450</v>
      </c>
      <c r="E87" s="8" t="s">
        <v>467</v>
      </c>
      <c r="F87" s="8">
        <v>3</v>
      </c>
      <c r="G87" s="8"/>
      <c r="H87" s="8" t="s">
        <v>419</v>
      </c>
      <c r="I87" s="8"/>
      <c r="J87" s="8" t="s">
        <v>468</v>
      </c>
      <c r="K87" s="8" t="s">
        <v>50</v>
      </c>
      <c r="L87" s="8" t="s">
        <v>130</v>
      </c>
      <c r="M87" s="8" t="s">
        <v>78</v>
      </c>
      <c r="N87" s="8" t="s">
        <v>469</v>
      </c>
      <c r="O87" s="9" t="s">
        <v>511</v>
      </c>
      <c r="P87" s="9"/>
      <c r="Q87" s="9" t="s">
        <v>599</v>
      </c>
      <c r="R87" s="9" t="s">
        <v>27</v>
      </c>
    </row>
  </sheetData>
  <autoFilter ref="A1:R87" xr:uid="{00000000-0009-0000-0000-000001000000}"/>
  <conditionalFormatting sqref="P2:P87">
    <cfRule type="expression" dxfId="0" priority="1">
      <formula>AND($O2="change",$P2="")</formula>
    </cfRule>
  </conditionalFormatting>
  <dataValidations count="2">
    <dataValidation type="list" allowBlank="1" showInputMessage="1" showErrorMessage="1" errorTitle="Verdict" error="Pick from the list." sqref="O2:O87" xr:uid="{00000000-0002-0000-0100-000000000000}">
      <formula1>"agree,change,make ambiguous,unsure"</formula1>
    </dataValidation>
    <dataValidation type="list" allowBlank="1" showInputMessage="1" showErrorMessage="1" errorTitle="Category" error="Pick from the list." sqref="P2:P87" xr:uid="{00000000-0002-0000-0100-000001000000}">
      <formula1>"on_label,likely_indication_or_disease,not_meaningful,possible_new_signal"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topLeftCell="A5" workbookViewId="0"/>
  </sheetViews>
  <sheetFormatPr defaultRowHeight="14.25" x14ac:dyDescent="0.45"/>
  <cols>
    <col min="1" max="1" width="14" customWidth="1"/>
    <col min="2" max="2" width="40" customWidth="1"/>
    <col min="3" max="3" width="12" customWidth="1"/>
    <col min="4" max="4" width="30" customWidth="1"/>
    <col min="5" max="6" width="90" customWidth="1"/>
  </cols>
  <sheetData>
    <row r="1" spans="1:6" ht="26.25" x14ac:dyDescent="0.45">
      <c r="A1" s="11" t="s">
        <v>33</v>
      </c>
      <c r="B1" s="11" t="s">
        <v>470</v>
      </c>
      <c r="C1" s="11" t="s">
        <v>471</v>
      </c>
      <c r="D1" s="11" t="s">
        <v>472</v>
      </c>
      <c r="E1" s="11" t="s">
        <v>473</v>
      </c>
      <c r="F1" s="11" t="s">
        <v>474</v>
      </c>
    </row>
    <row r="2" spans="1:6" ht="160.05000000000001" customHeight="1" x14ac:dyDescent="0.45">
      <c r="A2" s="2" t="s">
        <v>47</v>
      </c>
      <c r="B2" s="2" t="s">
        <v>475</v>
      </c>
      <c r="C2" s="2" t="s">
        <v>476</v>
      </c>
      <c r="D2" s="12" t="s">
        <v>477</v>
      </c>
      <c r="E2" s="2" t="s">
        <v>478</v>
      </c>
      <c r="F2" s="2" t="s">
        <v>479</v>
      </c>
    </row>
    <row r="3" spans="1:6" ht="160.05000000000001" customHeight="1" x14ac:dyDescent="0.45">
      <c r="A3" s="2" t="s">
        <v>400</v>
      </c>
      <c r="B3" s="2" t="s">
        <v>480</v>
      </c>
      <c r="C3" s="2" t="s">
        <v>481</v>
      </c>
      <c r="D3" s="12" t="s">
        <v>477</v>
      </c>
      <c r="E3" s="2" t="s">
        <v>482</v>
      </c>
      <c r="F3" s="2" t="s">
        <v>479</v>
      </c>
    </row>
    <row r="4" spans="1:6" ht="160.05000000000001" customHeight="1" x14ac:dyDescent="0.45">
      <c r="A4" s="2" t="s">
        <v>121</v>
      </c>
      <c r="B4" s="2" t="s">
        <v>483</v>
      </c>
      <c r="C4" s="2" t="s">
        <v>484</v>
      </c>
      <c r="D4" s="12" t="s">
        <v>477</v>
      </c>
      <c r="E4" s="2" t="s">
        <v>485</v>
      </c>
      <c r="F4" s="2" t="s">
        <v>486</v>
      </c>
    </row>
    <row r="5" spans="1:6" ht="160.05000000000001" customHeight="1" x14ac:dyDescent="0.45">
      <c r="A5" s="2" t="s">
        <v>198</v>
      </c>
      <c r="B5" s="2" t="s">
        <v>487</v>
      </c>
      <c r="C5" s="2" t="s">
        <v>488</v>
      </c>
      <c r="D5" s="12" t="s">
        <v>477</v>
      </c>
      <c r="E5" s="2" t="s">
        <v>489</v>
      </c>
      <c r="F5" s="2" t="s">
        <v>490</v>
      </c>
    </row>
    <row r="6" spans="1:6" ht="160.05000000000001" customHeight="1" x14ac:dyDescent="0.45">
      <c r="A6" s="2" t="s">
        <v>273</v>
      </c>
      <c r="B6" s="2" t="s">
        <v>491</v>
      </c>
      <c r="C6" s="2" t="s">
        <v>492</v>
      </c>
      <c r="D6" s="12" t="s">
        <v>477</v>
      </c>
      <c r="E6" s="2" t="s">
        <v>493</v>
      </c>
      <c r="F6" s="2" t="s">
        <v>494</v>
      </c>
    </row>
    <row r="7" spans="1:6" ht="160.05000000000001" customHeight="1" x14ac:dyDescent="0.45">
      <c r="A7" s="2" t="s">
        <v>327</v>
      </c>
      <c r="B7" s="2" t="s">
        <v>495</v>
      </c>
      <c r="C7" s="2" t="s">
        <v>496</v>
      </c>
      <c r="D7" s="12" t="s">
        <v>477</v>
      </c>
      <c r="E7" s="2" t="s">
        <v>497</v>
      </c>
      <c r="F7" s="2" t="s">
        <v>498</v>
      </c>
    </row>
    <row r="8" spans="1:6" ht="160.05000000000001" customHeight="1" x14ac:dyDescent="0.45">
      <c r="A8" s="2" t="s">
        <v>450</v>
      </c>
      <c r="B8" s="2" t="s">
        <v>499</v>
      </c>
      <c r="C8" s="2" t="s">
        <v>500</v>
      </c>
      <c r="D8" s="12" t="s">
        <v>477</v>
      </c>
      <c r="E8" s="2" t="s">
        <v>501</v>
      </c>
      <c r="F8" s="2" t="s">
        <v>502</v>
      </c>
    </row>
    <row r="10" spans="1:6" x14ac:dyDescent="0.45">
      <c r="A10" s="19" t="s">
        <v>503</v>
      </c>
      <c r="B10" s="20"/>
      <c r="C10" s="20"/>
      <c r="D10" s="20"/>
      <c r="E10" s="20"/>
      <c r="F10" s="20"/>
    </row>
  </sheetData>
  <mergeCells count="1">
    <mergeCell ref="A10:F10"/>
  </mergeCells>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tabSelected="1" workbookViewId="0">
      <selection activeCell="F8" sqref="F8"/>
    </sheetView>
  </sheetViews>
  <sheetFormatPr defaultRowHeight="14.25" x14ac:dyDescent="0.45"/>
  <cols>
    <col min="1" max="1" width="44" customWidth="1"/>
    <col min="2" max="4" width="24" customWidth="1"/>
  </cols>
  <sheetData>
    <row r="1" spans="1:4" ht="17.649999999999999" x14ac:dyDescent="0.5">
      <c r="A1" s="13" t="s">
        <v>504</v>
      </c>
    </row>
    <row r="3" spans="1:4" x14ac:dyDescent="0.45">
      <c r="A3" s="14"/>
      <c r="B3" s="14" t="s">
        <v>505</v>
      </c>
      <c r="C3" s="14" t="s">
        <v>506</v>
      </c>
      <c r="D3" s="14" t="s">
        <v>507</v>
      </c>
    </row>
    <row r="4" spans="1:4" x14ac:dyDescent="0.45">
      <c r="A4" s="4" t="s">
        <v>508</v>
      </c>
      <c r="B4" s="15">
        <f>COUNTA(Review!$E$2:$E$87)</f>
        <v>86</v>
      </c>
      <c r="C4" s="15">
        <f>COUNTIF(Review!$B$2:$B$87,"gold_v2")</f>
        <v>71</v>
      </c>
      <c r="D4" s="15">
        <f>COUNTIF(Review!$B$2:$B$87,"gold_newdrugs_v1")</f>
        <v>15</v>
      </c>
    </row>
    <row r="5" spans="1:4" x14ac:dyDescent="0.45">
      <c r="A5" s="4" t="s">
        <v>509</v>
      </c>
      <c r="B5" s="15">
        <f>COUNTIF(Review!$O$2:$O$87,"&lt;&gt;")</f>
        <v>86</v>
      </c>
      <c r="C5" s="15">
        <f>COUNTIFS(Review!$B$2:$B$87,"gold_v2",Review!$O$2:$O$87,"&lt;&gt;")</f>
        <v>71</v>
      </c>
      <c r="D5" s="15">
        <f>COUNTIFS(Review!$B$2:$B$87,"gold_newdrugs_v1",Review!$O$2:$O$87,"&lt;&gt;")</f>
        <v>15</v>
      </c>
    </row>
    <row r="6" spans="1:4" x14ac:dyDescent="0.45">
      <c r="A6" s="4" t="s">
        <v>510</v>
      </c>
      <c r="B6" s="15">
        <f>COUNTIF(Review!$O$2:$O$87,"agree")</f>
        <v>74</v>
      </c>
      <c r="C6" s="15">
        <f>COUNTIFS(Review!$B$2:$B$87,"gold_v2",Review!$O$2:$O$87,"agree")</f>
        <v>66</v>
      </c>
      <c r="D6" s="15">
        <f>COUNTIFS(Review!$B$2:$B$87,"gold_newdrugs_v1",Review!$O$2:$O$87,"agree")</f>
        <v>8</v>
      </c>
    </row>
    <row r="7" spans="1:4" x14ac:dyDescent="0.45">
      <c r="A7" s="4" t="s">
        <v>24</v>
      </c>
      <c r="B7" s="15">
        <f>COUNTIF(Review!$O$2:$O$87,"change")</f>
        <v>4</v>
      </c>
      <c r="C7" s="15">
        <f>COUNTIFS(Review!$B$2:$B$87,"gold_v2",Review!$O$2:$O$87,"change")</f>
        <v>2</v>
      </c>
      <c r="D7" s="15">
        <f>COUNTIFS(Review!$B$2:$B$87,"gold_newdrugs_v1",Review!$O$2:$O$87,"change")</f>
        <v>2</v>
      </c>
    </row>
    <row r="8" spans="1:4" x14ac:dyDescent="0.45">
      <c r="A8" s="4" t="s">
        <v>511</v>
      </c>
      <c r="B8" s="15">
        <f>COUNTIF(Review!$O$2:$O$87,"make ambiguous")</f>
        <v>8</v>
      </c>
      <c r="C8" s="15">
        <f>COUNTIFS(Review!$B$2:$B$87,"gold_v2",Review!$O$2:$O$87,"make ambiguous")</f>
        <v>3</v>
      </c>
      <c r="D8" s="15">
        <f>COUNTIFS(Review!$B$2:$B$87,"gold_newdrugs_v1",Review!$O$2:$O$87,"make ambiguous")</f>
        <v>5</v>
      </c>
    </row>
    <row r="9" spans="1:4" x14ac:dyDescent="0.45">
      <c r="A9" s="4" t="s">
        <v>512</v>
      </c>
      <c r="B9" s="15">
        <f>COUNTIF(Review!$O$2:$O$87,"unsure")</f>
        <v>0</v>
      </c>
      <c r="C9" s="15">
        <f>COUNTIFS(Review!$B$2:$B$87,"gold_v2",Review!$O$2:$O$87,"unsure")</f>
        <v>0</v>
      </c>
      <c r="D9" s="15">
        <f>COUNTIFS(Review!$B$2:$B$87,"gold_newdrugs_v1",Review!$O$2:$O$87,"unsure")</f>
        <v>0</v>
      </c>
    </row>
    <row r="10" spans="1:4" x14ac:dyDescent="0.45">
      <c r="A10" s="4" t="s">
        <v>513</v>
      </c>
      <c r="B10" s="16">
        <f>IF(B5=0,"",B6/B5)</f>
        <v>0.86046511627906974</v>
      </c>
      <c r="C10" s="16">
        <f>IF(C5=0,"",C6/C5)</f>
        <v>0.92957746478873238</v>
      </c>
      <c r="D10" s="16">
        <f>IF(D5=0,"",D6/D5)</f>
        <v>0.53333333333333333</v>
      </c>
    </row>
    <row r="11" spans="1:4" x14ac:dyDescent="0.45">
      <c r="A11" s="4" t="s">
        <v>514</v>
      </c>
      <c r="B11" s="15">
        <f>COUNTIFS(Review!$O$2:$O$87,"change",Review!$P$2:$P$87,"")</f>
        <v>0</v>
      </c>
    </row>
    <row r="13" spans="1:4" x14ac:dyDescent="0.45">
      <c r="A13" s="17" t="s">
        <v>515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Review</vt:lpstr>
      <vt:lpstr>Labels</vt:lpstr>
      <vt:lpstr>Tally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Ricky nguyen</cp:lastModifiedBy>
  <dcterms:created xsi:type="dcterms:W3CDTF">2026-10-26T00:57:11Z</dcterms:created>
  <dcterms:modified xsi:type="dcterms:W3CDTF">2026-10-26T01:26:31Z</dcterms:modified>
</cp:coreProperties>
</file>